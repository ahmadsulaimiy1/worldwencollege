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7 Proposed tariff" sheetId="16" state="visible" r:id="rId16"/>
    <sheet name="18 Architectures" sheetId="17" state="visible" r:id="rId17"/>
    <sheet name="19 Core Plan" sheetId="18" state="visible" r:id="rId18"/>
    <sheet name="20 Price scenarios" sheetId="19" state="visible" r:id="rId19"/>
    <sheet name="16 Summary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4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WorldWide English College — London Campus</t>
        </is>
      </c>
    </row>
    <row r="2">
      <c r="A2" s="2" t="inlineStr">
        <is>
          <t>17 Proposed tariff</t>
        </is>
      </c>
    </row>
    <row r="3">
      <c r="A3" s="3" t="inlineStr">
        <is>
          <t>PROPOSED / MODELLED. Not adopted. The published tariff remains $19,000.</t>
        </is>
      </c>
    </row>
    <row r="6" ht="30" customHeight="1">
      <c r="A6" s="4" t="inlineStr">
        <is>
          <t>Code</t>
        </is>
      </c>
      <c r="B6" s="4" t="inlineStr">
        <is>
          <t>CEFR</t>
        </is>
      </c>
      <c r="C6" s="4" t="inlineStr">
        <is>
          <t>Qualification</t>
        </is>
      </c>
      <c r="D6" s="4" t="inlineStr">
        <is>
          <t>Directed</t>
        </is>
      </c>
      <c r="E6" s="4" t="inlineStr">
        <is>
          <t>Tutored</t>
        </is>
      </c>
      <c r="F6" s="4" t="inlineStr">
        <is>
          <t>Exec Core</t>
        </is>
      </c>
      <c r="G6" s="4" t="inlineStr">
        <is>
          <t>Exec Premium</t>
        </is>
      </c>
      <c r="H6" s="4" t="inlineStr">
        <is>
          <t>Exec Bespoke</t>
        </is>
      </c>
    </row>
    <row r="7">
      <c r="A7" s="5" t="inlineStr">
        <is>
          <t>ECIC</t>
        </is>
      </c>
      <c r="B7" s="6" t="inlineStr">
        <is>
          <t>A1</t>
        </is>
      </c>
      <c r="C7" s="6" t="inlineStr">
        <is>
          <t>English Communication Introductory Certificate</t>
        </is>
      </c>
      <c r="D7" s="10" t="n">
        <v>1100</v>
      </c>
      <c r="E7" s="10" t="n">
        <v>2050</v>
      </c>
      <c r="F7" s="10" t="n">
        <v>3700</v>
      </c>
      <c r="G7" s="10" t="n">
        <v>6200</v>
      </c>
      <c r="H7" s="10" t="n">
        <v>11250</v>
      </c>
    </row>
    <row r="8">
      <c r="A8" s="5" t="inlineStr">
        <is>
          <t>HCIC</t>
        </is>
      </c>
      <c r="B8" s="6" t="inlineStr">
        <is>
          <t>A2</t>
        </is>
      </c>
      <c r="C8" s="6" t="inlineStr">
        <is>
          <t>Higher Communication Introductory Certificate</t>
        </is>
      </c>
      <c r="D8" s="10" t="n">
        <v>1200</v>
      </c>
      <c r="E8" s="10" t="n">
        <v>2300</v>
      </c>
      <c r="F8" s="10" t="n">
        <v>4200</v>
      </c>
      <c r="G8" s="10" t="n">
        <v>7100</v>
      </c>
      <c r="H8" s="10" t="n">
        <v>12500</v>
      </c>
    </row>
    <row r="9">
      <c r="A9" s="5" t="inlineStr">
        <is>
          <t>CAEC</t>
        </is>
      </c>
      <c r="B9" s="6" t="inlineStr">
        <is>
          <t>B1</t>
        </is>
      </c>
      <c r="C9" s="6" t="inlineStr">
        <is>
          <t>Certificate in Applied English Communication</t>
        </is>
      </c>
      <c r="D9" s="10" t="n">
        <v>1350</v>
      </c>
      <c r="E9" s="10" t="n">
        <v>2700</v>
      </c>
      <c r="F9" s="10" t="n">
        <v>4900</v>
      </c>
      <c r="G9" s="10" t="n">
        <v>8350</v>
      </c>
      <c r="H9" s="10" t="n">
        <v>14200</v>
      </c>
    </row>
    <row r="10">
      <c r="A10" s="5" t="inlineStr">
        <is>
          <t>HCAEC</t>
        </is>
      </c>
      <c r="B10" s="6" t="inlineStr">
        <is>
          <t>B2</t>
        </is>
      </c>
      <c r="C10" s="6" t="inlineStr">
        <is>
          <t>Higher Certificate in Applied English Communication</t>
        </is>
      </c>
      <c r="D10" s="10" t="n">
        <v>1500</v>
      </c>
      <c r="E10" s="10" t="n">
        <v>3150</v>
      </c>
      <c r="F10" s="10" t="n">
        <v>5750</v>
      </c>
      <c r="G10" s="10" t="n">
        <v>9850</v>
      </c>
      <c r="H10" s="10" t="n">
        <v>16250</v>
      </c>
    </row>
    <row r="11">
      <c r="A11" s="5" t="inlineStr">
        <is>
          <t>ACEC</t>
        </is>
      </c>
      <c r="B11" s="6" t="inlineStr">
        <is>
          <t>C1</t>
        </is>
      </c>
      <c r="C11" s="6" t="inlineStr">
        <is>
          <t>Advanced Certificate in English Communication</t>
        </is>
      </c>
      <c r="D11" s="10" t="n">
        <v>1750</v>
      </c>
      <c r="E11" s="10" t="n">
        <v>3800</v>
      </c>
      <c r="F11" s="10" t="n">
        <v>7000</v>
      </c>
      <c r="G11" s="10" t="n">
        <v>12000</v>
      </c>
      <c r="H11" s="10" t="n">
        <v>19200</v>
      </c>
    </row>
    <row r="12">
      <c r="A12" s="5" t="inlineStr">
        <is>
          <t>WEPC</t>
        </is>
      </c>
      <c r="B12" s="6" t="inlineStr">
        <is>
          <t>C2</t>
        </is>
      </c>
      <c r="C12" s="6" t="inlineStr">
        <is>
          <t>WorldWide English Proficiency Certificate</t>
        </is>
      </c>
      <c r="D12" s="10" t="n">
        <v>2000</v>
      </c>
      <c r="E12" s="10" t="n">
        <v>4500</v>
      </c>
      <c r="F12" s="10" t="n">
        <v>8450</v>
      </c>
      <c r="G12" s="10" t="n">
        <v>14500</v>
      </c>
      <c r="H12" s="10" t="n">
        <v>22600</v>
      </c>
    </row>
    <row r="13">
      <c r="C13" s="5" t="inlineStr">
        <is>
          <t>COMPLETE A1–C2 PATHWAY</t>
        </is>
      </c>
      <c r="D13" s="15">
        <f>SUM(D7:D12)</f>
        <v/>
      </c>
      <c r="E13" s="15">
        <f>SUM(E7:E12)</f>
        <v/>
      </c>
      <c r="F13" s="15">
        <f>SUM(F7:F12)</f>
        <v/>
      </c>
      <c r="G13" s="15">
        <f>SUM(G7:G12)</f>
        <v/>
      </c>
      <c r="H13" s="15">
        <f>SUM(H7:H12)</f>
        <v/>
      </c>
    </row>
    <row r="14">
      <c r="C14" s="5" t="inlineStr">
        <is>
          <t>Per academic hour (1,200 hours)</t>
        </is>
      </c>
      <c r="D14" s="7">
        <f>D13/1200</f>
        <v/>
      </c>
      <c r="E14" s="7">
        <f>E13/1200</f>
        <v/>
      </c>
      <c r="F14" s="7">
        <f>F13/1200</f>
        <v/>
      </c>
      <c r="G14" s="7">
        <f>G13/1200</f>
        <v/>
      </c>
      <c r="H14" s="7">
        <f>H13/1200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18 Architectures</t>
        </is>
      </c>
    </row>
    <row r="3">
      <c r="A3" s="3" t="inlineStr">
        <is>
          <t>Three architectures through one demand model, one cost model, one capacity gate.</t>
        </is>
      </c>
    </row>
    <row r="6" ht="30" customHeight="1">
      <c r="A6" s="4" t="inlineStr">
        <is>
          <t>Architecture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active</t>
        </is>
      </c>
      <c r="F6" s="4" t="inlineStr">
        <is>
          <t>Awards conferred</t>
        </is>
      </c>
      <c r="G6" s="4" t="inlineStr">
        <is>
          <t>Closing reserve</t>
        </is>
      </c>
    </row>
    <row r="7">
      <c r="A7" s="6" t="inlineStr">
        <is>
          <t>Brief A — $7,400 / $14,800</t>
        </is>
      </c>
      <c r="B7" s="10" t="n">
        <v>58074016</v>
      </c>
      <c r="C7" s="10" t="n">
        <v>2943992</v>
      </c>
      <c r="D7" s="10" t="n">
        <v>9938254</v>
      </c>
      <c r="E7" s="8" t="n">
        <v>5839</v>
      </c>
      <c r="F7" s="8" t="n">
        <v>7589</v>
      </c>
      <c r="G7" s="10" t="n">
        <v>2994359</v>
      </c>
    </row>
    <row r="8">
      <c r="A8" s="6" t="inlineStr">
        <is>
          <t>Adopted flat $19,000</t>
        </is>
      </c>
      <c r="B8" s="10" t="n">
        <v>57783185</v>
      </c>
      <c r="C8" s="10" t="n">
        <v>17202006</v>
      </c>
      <c r="D8" s="10" t="n">
        <v>10034862</v>
      </c>
      <c r="E8" s="8" t="n">
        <v>2964</v>
      </c>
      <c r="F8" s="8" t="n">
        <v>3799</v>
      </c>
      <c r="G8" s="10" t="n">
        <v>10881207</v>
      </c>
    </row>
    <row r="9">
      <c r="A9" s="5" t="inlineStr">
        <is>
          <t>Proposed portfolio</t>
        </is>
      </c>
      <c r="B9" s="15" t="n">
        <v>61565430</v>
      </c>
      <c r="C9" s="15" t="n">
        <v>14141690</v>
      </c>
      <c r="D9" s="15" t="n">
        <v>10510847</v>
      </c>
      <c r="E9" s="11" t="n">
        <v>4845</v>
      </c>
      <c r="F9" s="11" t="n">
        <v>6306</v>
      </c>
      <c r="G9" s="15" t="n">
        <v>9163516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19 Core Plan</t>
        </is>
      </c>
    </row>
    <row r="3">
      <c r="A3" s="3" t="inlineStr">
        <is>
          <t>Management's recommended execution case under the proposed architecture.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New learners</t>
        </is>
      </c>
      <c r="D6" s="4" t="inlineStr">
        <is>
          <t>Active</t>
        </is>
      </c>
      <c r="E6" s="4" t="inlineStr">
        <is>
          <t>Instructors</t>
        </is>
      </c>
      <c r="F6" s="4" t="inlineStr">
        <is>
          <t>Revenue</t>
        </is>
      </c>
      <c r="G6" s="4" t="inlineStr">
        <is>
          <t>Delivery</t>
        </is>
      </c>
      <c r="H6" s="4" t="inlineStr">
        <is>
          <t>Acquisition</t>
        </is>
      </c>
      <c r="I6" s="4" t="inlineStr">
        <is>
          <t>Fixed</t>
        </is>
      </c>
      <c r="J6" s="4" t="inlineStr">
        <is>
          <t>Surplus</t>
        </is>
      </c>
      <c r="K6" s="4" t="inlineStr">
        <is>
          <t>Margin</t>
        </is>
      </c>
      <c r="L6" s="4" t="inlineStr">
        <is>
          <t>Cumulative surplus</t>
        </is>
      </c>
    </row>
    <row r="7">
      <c r="A7" s="8" t="n">
        <v>1</v>
      </c>
      <c r="B7" s="8" t="n">
        <v>2027</v>
      </c>
      <c r="C7" s="8" t="n">
        <v>83</v>
      </c>
      <c r="D7" s="8" t="n">
        <v>158</v>
      </c>
      <c r="E7" s="8" t="n">
        <v>2</v>
      </c>
      <c r="F7" s="10" t="n">
        <v>342745</v>
      </c>
      <c r="G7" s="10" t="n">
        <v>116253</v>
      </c>
      <c r="H7" s="10" t="n">
        <v>68041</v>
      </c>
      <c r="I7" s="10" t="n">
        <v>785714</v>
      </c>
      <c r="J7" s="15">
        <f>F7-G7-H7-I7</f>
        <v/>
      </c>
      <c r="K7" s="9">
        <f>IF(F7=0,0,J7/F7)</f>
        <v/>
      </c>
      <c r="L7" s="15">
        <f>J7</f>
        <v/>
      </c>
    </row>
    <row r="8">
      <c r="A8" s="8" t="n">
        <v>2</v>
      </c>
      <c r="B8" s="8" t="n">
        <v>2028</v>
      </c>
      <c r="C8" s="8" t="n">
        <v>291</v>
      </c>
      <c r="D8" s="8" t="n">
        <v>553</v>
      </c>
      <c r="E8" s="8" t="n">
        <v>6</v>
      </c>
      <c r="F8" s="10" t="n">
        <v>1201227</v>
      </c>
      <c r="G8" s="10" t="n">
        <v>407436</v>
      </c>
      <c r="H8" s="10" t="n">
        <v>238464</v>
      </c>
      <c r="I8" s="10" t="n">
        <v>951429</v>
      </c>
      <c r="J8" s="15">
        <f>F8-G8-H8-I8</f>
        <v/>
      </c>
      <c r="K8" s="9">
        <f>IF(F8=0,0,J8/F8)</f>
        <v/>
      </c>
      <c r="L8" s="15">
        <f>L7+J8</f>
        <v/>
      </c>
    </row>
    <row r="9">
      <c r="A9" s="8" t="n">
        <v>3</v>
      </c>
      <c r="B9" s="8" t="n">
        <v>2029</v>
      </c>
      <c r="C9" s="8" t="n">
        <v>530</v>
      </c>
      <c r="D9" s="8" t="n">
        <v>1007</v>
      </c>
      <c r="E9" s="8" t="n">
        <v>11</v>
      </c>
      <c r="F9" s="10" t="n">
        <v>2184018</v>
      </c>
      <c r="G9" s="10" t="n">
        <v>740782</v>
      </c>
      <c r="H9" s="10" t="n">
        <v>433565</v>
      </c>
      <c r="I9" s="10" t="n">
        <v>1117143</v>
      </c>
      <c r="J9" s="15">
        <f>F9-G9-H9-I9</f>
        <v/>
      </c>
      <c r="K9" s="9">
        <f>IF(F9=0,0,J9/F9)</f>
        <v/>
      </c>
      <c r="L9" s="15">
        <f>L8+J9</f>
        <v/>
      </c>
    </row>
    <row r="10">
      <c r="A10" s="8" t="n">
        <v>4</v>
      </c>
      <c r="B10" s="8" t="n">
        <v>2030</v>
      </c>
      <c r="C10" s="8" t="n">
        <v>969</v>
      </c>
      <c r="D10" s="8" t="n">
        <v>1841</v>
      </c>
      <c r="E10" s="8" t="n">
        <v>19</v>
      </c>
      <c r="F10" s="10" t="n">
        <v>3993934</v>
      </c>
      <c r="G10" s="10" t="n">
        <v>1354674</v>
      </c>
      <c r="H10" s="10" t="n">
        <v>792865</v>
      </c>
      <c r="I10" s="10" t="n">
        <v>1282857</v>
      </c>
      <c r="J10" s="15">
        <f>F10-G10-H10-I10</f>
        <v/>
      </c>
      <c r="K10" s="9">
        <f>IF(F10=0,0,J10/F10)</f>
        <v/>
      </c>
      <c r="L10" s="15">
        <f>L9+J10</f>
        <v/>
      </c>
    </row>
    <row r="11">
      <c r="A11" s="8" t="n">
        <v>5</v>
      </c>
      <c r="B11" s="8" t="n">
        <v>2031</v>
      </c>
      <c r="C11" s="8" t="n">
        <v>1447</v>
      </c>
      <c r="D11" s="8" t="n">
        <v>2749</v>
      </c>
      <c r="E11" s="8" t="n">
        <v>29</v>
      </c>
      <c r="F11" s="10" t="n">
        <v>5965241</v>
      </c>
      <c r="G11" s="10" t="n">
        <v>2023308</v>
      </c>
      <c r="H11" s="10" t="n">
        <v>1184203</v>
      </c>
      <c r="I11" s="10" t="n">
        <v>1448571</v>
      </c>
      <c r="J11" s="15">
        <f>F11-G11-H11-I11</f>
        <v/>
      </c>
      <c r="K11" s="9">
        <f>IF(F11=0,0,J11/F11)</f>
        <v/>
      </c>
      <c r="L11" s="15">
        <f>L10+J11</f>
        <v/>
      </c>
    </row>
    <row r="12">
      <c r="A12" s="8" t="n">
        <v>6</v>
      </c>
      <c r="B12" s="8" t="n">
        <v>2032</v>
      </c>
      <c r="C12" s="8" t="n">
        <v>1831</v>
      </c>
      <c r="D12" s="8" t="n">
        <v>3479</v>
      </c>
      <c r="E12" s="8" t="n">
        <v>36</v>
      </c>
      <c r="F12" s="10" t="n">
        <v>7546091</v>
      </c>
      <c r="G12" s="10" t="n">
        <v>2559505</v>
      </c>
      <c r="H12" s="10" t="n">
        <v>1498029</v>
      </c>
      <c r="I12" s="10" t="n">
        <v>1614286</v>
      </c>
      <c r="J12" s="15">
        <f>F12-G12-H12-I12</f>
        <v/>
      </c>
      <c r="K12" s="9">
        <f>IF(F12=0,0,J12/F12)</f>
        <v/>
      </c>
      <c r="L12" s="15">
        <f>L11+J12</f>
        <v/>
      </c>
    </row>
    <row r="13">
      <c r="A13" s="8" t="n">
        <v>7</v>
      </c>
      <c r="B13" s="8" t="n">
        <v>2033</v>
      </c>
      <c r="C13" s="8" t="n">
        <v>2183</v>
      </c>
      <c r="D13" s="8" t="n">
        <v>4148</v>
      </c>
      <c r="E13" s="8" t="n">
        <v>43</v>
      </c>
      <c r="F13" s="10" t="n">
        <v>8996825</v>
      </c>
      <c r="G13" s="10" t="n">
        <v>3051569</v>
      </c>
      <c r="H13" s="10" t="n">
        <v>1786025</v>
      </c>
      <c r="I13" s="10" t="n">
        <v>1780000</v>
      </c>
      <c r="J13" s="15">
        <f>F13-G13-H13-I13</f>
        <v/>
      </c>
      <c r="K13" s="9">
        <f>IF(F13=0,0,J13/F13)</f>
        <v/>
      </c>
      <c r="L13" s="15">
        <f>L12+J13</f>
        <v/>
      </c>
    </row>
    <row r="14">
      <c r="A14" s="8" t="n">
        <v>8</v>
      </c>
      <c r="B14" s="8" t="n">
        <v>2034</v>
      </c>
      <c r="C14" s="8" t="n">
        <v>2502</v>
      </c>
      <c r="D14" s="8" t="n">
        <v>4754</v>
      </c>
      <c r="E14" s="8" t="n">
        <v>50</v>
      </c>
      <c r="F14" s="10" t="n">
        <v>10313655</v>
      </c>
      <c r="G14" s="10" t="n">
        <v>3498215</v>
      </c>
      <c r="H14" s="10" t="n">
        <v>2047438</v>
      </c>
      <c r="I14" s="10" t="n">
        <v>1780000</v>
      </c>
      <c r="J14" s="15">
        <f>F14-G14-H14-I14</f>
        <v/>
      </c>
      <c r="K14" s="9">
        <f>IF(F14=0,0,J14/F14)</f>
        <v/>
      </c>
      <c r="L14" s="15">
        <f>L13+J14</f>
        <v/>
      </c>
    </row>
    <row r="15">
      <c r="A15" s="8" t="n">
        <v>9</v>
      </c>
      <c r="B15" s="8" t="n">
        <v>2035</v>
      </c>
      <c r="C15" s="8" t="n">
        <v>2550</v>
      </c>
      <c r="D15" s="8" t="n">
        <v>4845</v>
      </c>
      <c r="E15" s="8" t="n">
        <v>50</v>
      </c>
      <c r="F15" s="10" t="n">
        <v>10510847</v>
      </c>
      <c r="G15" s="10" t="n">
        <v>3565100</v>
      </c>
      <c r="H15" s="10" t="n">
        <v>2086584</v>
      </c>
      <c r="I15" s="10" t="n">
        <v>1780000</v>
      </c>
      <c r="J15" s="15">
        <f>F15-G15-H15-I15</f>
        <v/>
      </c>
      <c r="K15" s="9">
        <f>IF(F15=0,0,J15/F15)</f>
        <v/>
      </c>
      <c r="L15" s="15">
        <f>L14+J15</f>
        <v/>
      </c>
    </row>
    <row r="16">
      <c r="A16" s="8" t="n">
        <v>10</v>
      </c>
      <c r="B16" s="8" t="n">
        <v>2036</v>
      </c>
      <c r="C16" s="8" t="n">
        <v>2550</v>
      </c>
      <c r="D16" s="8" t="n">
        <v>4845</v>
      </c>
      <c r="E16" s="8" t="n">
        <v>50</v>
      </c>
      <c r="F16" s="10" t="n">
        <v>10510847</v>
      </c>
      <c r="G16" s="10" t="n">
        <v>3565100</v>
      </c>
      <c r="H16" s="10" t="n">
        <v>2086584</v>
      </c>
      <c r="I16" s="10" t="n">
        <v>1780000</v>
      </c>
      <c r="J16" s="15">
        <f>F16-G16-H16-I16</f>
        <v/>
      </c>
      <c r="K16" s="9">
        <f>IF(F16=0,0,J16/F16)</f>
        <v/>
      </c>
      <c r="L16" s="15">
        <f>L15+J16</f>
        <v/>
      </c>
    </row>
    <row r="17">
      <c r="B17" s="5" t="inlineStr">
        <is>
          <t>TEN YEARS</t>
        </is>
      </c>
      <c r="F17" s="15">
        <f>SUM(F7:F16)</f>
        <v/>
      </c>
      <c r="G17" s="15">
        <f>SUM(G7:G16)</f>
        <v/>
      </c>
      <c r="H17" s="15">
        <f>SUM(H7:H16)</f>
        <v/>
      </c>
      <c r="I17" s="15">
        <f>SUM(I7:I16)</f>
        <v/>
      </c>
      <c r="J17" s="15">
        <f>SUM(J7:J16)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20 Price scenarios</t>
        </is>
      </c>
    </row>
    <row r="3">
      <c r="A3" s="3" t="inlineStr">
        <is>
          <t>Conservative is not a haircut on Core: weaker continuation, narrower reach, dearer acquisition.</t>
        </is>
      </c>
    </row>
    <row r="6" ht="30" customHeight="1">
      <c r="A6" s="4" t="inlineStr">
        <is>
          <t>Scenario</t>
        </is>
      </c>
      <c r="B6" s="4" t="inlineStr">
        <is>
          <t>Ten-year revenue</t>
        </is>
      </c>
      <c r="C6" s="4" t="inlineStr">
        <is>
          <t>Ten-year surplus</t>
        </is>
      </c>
      <c r="D6" s="4" t="inlineStr">
        <is>
          <t>Year-10 revenue</t>
        </is>
      </c>
      <c r="E6" s="4" t="inlineStr">
        <is>
          <t>Year-10 new</t>
        </is>
      </c>
      <c r="F6" s="4" t="inlineStr">
        <is>
          <t>Year-10 active</t>
        </is>
      </c>
      <c r="G6" s="4" t="inlineStr">
        <is>
          <t>Awards</t>
        </is>
      </c>
    </row>
    <row r="7">
      <c r="A7" s="6" t="inlineStr">
        <is>
          <t>Conservative</t>
        </is>
      </c>
      <c r="B7" s="10" t="n">
        <v>35791425</v>
      </c>
      <c r="C7" s="10" t="n">
        <v>-1843882</v>
      </c>
      <c r="D7" s="10" t="n">
        <v>6228939</v>
      </c>
      <c r="E7" s="8" t="n">
        <v>1887</v>
      </c>
      <c r="F7" s="8" t="n">
        <v>3585</v>
      </c>
      <c r="G7" s="8" t="n">
        <v>2417</v>
      </c>
    </row>
    <row r="8">
      <c r="A8" s="5" t="inlineStr">
        <is>
          <t>Core Management Plan</t>
        </is>
      </c>
      <c r="B8" s="15" t="n">
        <v>61565430</v>
      </c>
      <c r="C8" s="15" t="n">
        <v>14141690</v>
      </c>
      <c r="D8" s="15" t="n">
        <v>10510847</v>
      </c>
      <c r="E8" s="11" t="n">
        <v>2550</v>
      </c>
      <c r="F8" s="11" t="n">
        <v>4845</v>
      </c>
      <c r="G8" s="11" t="n">
        <v>6306</v>
      </c>
    </row>
    <row r="9">
      <c r="A9" s="6" t="inlineStr">
        <is>
          <t>High Growth</t>
        </is>
      </c>
      <c r="B9" s="10" t="n">
        <v>95500442</v>
      </c>
      <c r="C9" s="10" t="n">
        <v>35110823</v>
      </c>
      <c r="D9" s="10" t="n">
        <v>16045849</v>
      </c>
      <c r="E9" s="8" t="n">
        <v>3264</v>
      </c>
      <c r="F9" s="8" t="n">
        <v>6202</v>
      </c>
      <c r="G9" s="8" t="n">
        <v>12627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2026-09-19T22:28:27Z</dcterms:created>
  <dcterms:modified xsi:type="dcterms:W3CDTF">2026-09-19T22:28:27Z</dcterms:modified>
</cp:coreProperties>
</file>