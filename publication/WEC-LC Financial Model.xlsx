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Assumptions" sheetId="1" state="visible" r:id="rId1"/>
    <sheet name="02 Qualifications" sheetId="2" state="visible" r:id="rId2"/>
    <sheet name="03 Pricing" sheetId="3" state="visible" r:id="rId3"/>
    <sheet name="04 Expected" sheetId="4" state="visible" r:id="rId4"/>
    <sheet name="05 Conservative" sheetId="5" state="visible" r:id="rId5"/>
    <sheet name="06 Growth" sheetId="6" state="visible" r:id="rId6"/>
    <sheet name="07 Scenarios" sheetId="7" state="visible" r:id="rId7"/>
    <sheet name="08 Funnel" sheetId="8" state="visible" r:id="rId8"/>
    <sheet name="09 Markets" sheetId="9" state="visible" r:id="rId9"/>
    <sheet name="10 Establishment" sheetId="10" state="visible" r:id="rId10"/>
    <sheet name="11 Allocation" sheetId="11" state="visible" r:id="rId11"/>
    <sheet name="12 Reserves" sheetId="12" state="visible" r:id="rId12"/>
    <sheet name="13 Break-even" sheetId="13" state="visible" r:id="rId13"/>
    <sheet name="14 Sensitivity" sheetId="14" state="visible" r:id="rId14"/>
    <sheet name="15 Alternative A" sheetId="15" state="visible" r:id="rId15"/>
    <sheet name="17 Proposed tariff" sheetId="16" state="visible" r:id="rId16"/>
    <sheet name="18 Architectures" sheetId="17" state="visible" r:id="rId17"/>
    <sheet name="19 Core Plan" sheetId="18" state="visible" r:id="rId18"/>
    <sheet name="20 Price scenarios" sheetId="19" state="visible" r:id="rId19"/>
    <sheet name="21 Market evidence" sheetId="20" state="visible" r:id="rId20"/>
    <sheet name="22 Allocation framework" sheetId="21" state="visible" r:id="rId21"/>
    <sheet name="16 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(#,##0.00)"/>
    <numFmt numFmtId="165" formatCode="0.0%"/>
    <numFmt numFmtId="166" formatCode="#,##0;[Red](#,##0)"/>
    <numFmt numFmtId="167" formatCode="#,##0.0"/>
  </numFmts>
  <fonts count="7">
    <font>
      <name val="Calibri"/>
      <family val="2"/>
      <color theme="1"/>
      <sz val="11"/>
      <scheme val="minor"/>
    </font>
    <font>
      <name val="Calibri"/>
      <color rgb="00C7A24A"/>
      <sz val="9"/>
    </font>
    <font>
      <name val="Calibri"/>
      <b val="1"/>
      <color rgb="0014264A"/>
      <sz val="14"/>
    </font>
    <font>
      <name val="Calibri"/>
      <i val="1"/>
      <color rgb="006A7280"/>
      <sz val="9"/>
    </font>
    <font>
      <name val="Calibri"/>
      <b val="1"/>
      <color rgb="00FFFFFF"/>
      <sz val="11"/>
    </font>
    <font>
      <name val="Calibri"/>
      <b val="1"/>
      <color rgb="0016202E"/>
      <sz val="10"/>
    </font>
    <font>
      <name val="Calibri"/>
      <color rgb="0016202E"/>
      <sz val="10"/>
    </font>
  </fonts>
  <fills count="4">
    <fill>
      <patternFill/>
    </fill>
    <fill>
      <patternFill patternType="gray125"/>
    </fill>
    <fill>
      <patternFill patternType="solid">
        <fgColor rgb="0014264A"/>
      </patternFill>
    </fill>
    <fill>
      <patternFill patternType="solid">
        <fgColor rgb="00FCFAF4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7" fontId="6" fillId="0" borderId="0" pivotButton="0" quotePrefix="0" xfId="0"/>
    <xf numFmtId="166" fontId="5" fillId="0" borderId="0" pivotButton="0" quotePrefix="0" xfId="0"/>
    <xf numFmtId="3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164" fontId="6" fillId="3" borderId="0" pivotButton="0" quotePrefix="0" xfId="0"/>
    <xf numFmtId="166" fontId="5" fillId="3" borderId="0" pivotButton="0" quotePrefix="0" xfId="0"/>
    <xf numFmtId="165" fontId="6" fillId="3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16" customWidth="1" min="4" max="4"/>
    <col width="38" customWidth="1" min="5" max="5"/>
  </cols>
  <sheetData>
    <row r="1">
      <c r="A1" s="1" t="inlineStr">
        <is>
          <t>WorldWide English College — London Campus</t>
        </is>
      </c>
    </row>
    <row r="2">
      <c r="A2" s="2" t="inlineStr">
        <is>
          <t>01 Assumptions</t>
        </is>
      </c>
    </row>
    <row r="3">
      <c r="A3" s="3" t="inlineStr">
        <is>
          <t>Every quantity classified. VERIFIED = adopted and published. ASSUMPTION = asserted for modelling. BOARD = needs a decision.</t>
        </is>
      </c>
    </row>
    <row r="6" ht="30" customHeight="1">
      <c r="A6" s="4" t="inlineStr">
        <is>
          <t>Class</t>
        </is>
      </c>
      <c r="B6" s="4" t="inlineStr">
        <is>
          <t>Quantity</t>
        </is>
      </c>
      <c r="C6" s="4" t="inlineStr">
        <is>
          <t>Value</t>
        </is>
      </c>
      <c r="D6" s="4" t="inlineStr">
        <is>
          <t>Unit</t>
        </is>
      </c>
      <c r="E6" s="4" t="inlineStr">
        <is>
          <t>Source</t>
        </is>
      </c>
    </row>
    <row r="7">
      <c r="A7" s="5" t="inlineStr">
        <is>
          <t>VERIFIED</t>
        </is>
      </c>
      <c r="B7" s="6" t="inlineStr">
        <is>
          <t>Programme total</t>
        </is>
      </c>
      <c r="C7" s="7" t="n">
        <v>19000</v>
      </c>
      <c r="D7" s="6" t="inlineStr">
        <is>
          <t>USD</t>
        </is>
      </c>
      <c r="E7" s="6" t="inlineStr">
        <is>
          <t>data/tuition.json</t>
        </is>
      </c>
    </row>
    <row r="8">
      <c r="A8" s="5" t="inlineStr">
        <is>
          <t>VERIFIED</t>
        </is>
      </c>
      <c r="B8" s="6" t="inlineStr">
        <is>
          <t>Levels</t>
        </is>
      </c>
      <c r="C8" s="8" t="n">
        <v>6</v>
      </c>
      <c r="D8" s="6" t="inlineStr">
        <is>
          <t>count</t>
        </is>
      </c>
      <c r="E8" s="6" t="inlineStr">
        <is>
          <t>data/tuition.json</t>
        </is>
      </c>
    </row>
    <row r="9">
      <c r="A9" s="5" t="inlineStr">
        <is>
          <t>VERIFIED</t>
        </is>
      </c>
      <c r="B9" s="6" t="inlineStr">
        <is>
          <t>Hours per level</t>
        </is>
      </c>
      <c r="C9" s="8" t="n">
        <v>200</v>
      </c>
      <c r="D9" s="6" t="inlineStr">
        <is>
          <t>hours</t>
        </is>
      </c>
      <c r="E9" s="6" t="inlineStr">
        <is>
          <t>data/tuition.json</t>
        </is>
      </c>
    </row>
    <row r="10">
      <c r="A10" s="5" t="inlineStr">
        <is>
          <t>VERIFIED</t>
        </is>
      </c>
      <c r="B10" s="6" t="inlineStr">
        <is>
          <t>Total academic hours</t>
        </is>
      </c>
      <c r="C10" s="8" t="n">
        <v>1200</v>
      </c>
      <c r="D10" s="6" t="inlineStr">
        <is>
          <t>hours</t>
        </is>
      </c>
      <c r="E10" s="6" t="inlineStr">
        <is>
          <t>derived</t>
        </is>
      </c>
    </row>
    <row r="11">
      <c r="A11" s="5" t="inlineStr">
        <is>
          <t>VERIFIED</t>
        </is>
      </c>
      <c r="B11" s="6" t="inlineStr">
        <is>
          <t>Credits per level</t>
        </is>
      </c>
      <c r="C11" s="8" t="n">
        <v>20</v>
      </c>
      <c r="D11" s="6" t="inlineStr">
        <is>
          <t>credits</t>
        </is>
      </c>
      <c r="E11" s="6" t="inlineStr">
        <is>
          <t>data/tuition.json</t>
        </is>
      </c>
    </row>
    <row r="12">
      <c r="A12" s="5" t="inlineStr">
        <is>
          <t>VERIFIED</t>
        </is>
      </c>
      <c r="B12" s="6" t="inlineStr">
        <is>
          <t>Total credits</t>
        </is>
      </c>
      <c r="C12" s="8" t="n">
        <v>120</v>
      </c>
      <c r="D12" s="6" t="inlineStr">
        <is>
          <t>credits</t>
        </is>
      </c>
      <c r="E12" s="6" t="inlineStr">
        <is>
          <t>derived</t>
        </is>
      </c>
    </row>
    <row r="13">
      <c r="A13" s="5" t="inlineStr">
        <is>
          <t>VERIFIED</t>
        </is>
      </c>
      <c r="B13" s="6" t="inlineStr">
        <is>
          <t>Fee per level</t>
        </is>
      </c>
      <c r="C13" s="7" t="n">
        <v>3166.67</v>
      </c>
      <c r="D13" s="6" t="inlineStr">
        <is>
          <t>USD</t>
        </is>
      </c>
      <c r="E13" s="6" t="inlineStr">
        <is>
          <t>data/tuition.json</t>
        </is>
      </c>
    </row>
    <row r="14">
      <c r="A14" s="5" t="inlineStr">
        <is>
          <t>VERIFIED</t>
        </is>
      </c>
      <c r="B14" s="6" t="inlineStr">
        <is>
          <t>Cost per academic hour</t>
        </is>
      </c>
      <c r="C14" s="7" t="n">
        <v>15.83</v>
      </c>
      <c r="D14" s="6" t="inlineStr">
        <is>
          <t>USD</t>
        </is>
      </c>
      <c r="E14" s="6" t="inlineStr">
        <is>
          <t>derived</t>
        </is>
      </c>
    </row>
    <row r="15">
      <c r="A15" s="5" t="inlineStr">
        <is>
          <t>VERIFIED</t>
        </is>
      </c>
      <c r="B15" s="6" t="inlineStr">
        <is>
          <t>Cost per credit</t>
        </is>
      </c>
      <c r="C15" s="7" t="n">
        <v>158.33</v>
      </c>
      <c r="D15" s="6" t="inlineStr">
        <is>
          <t>USD</t>
        </is>
      </c>
      <c r="E15" s="6" t="inlineStr">
        <is>
          <t>derived</t>
        </is>
      </c>
    </row>
    <row r="16">
      <c r="A16" s="5" t="inlineStr">
        <is>
          <t>VERIFIED</t>
        </is>
      </c>
      <c r="B16" s="6" t="inlineStr">
        <is>
          <t>Instalments per level</t>
        </is>
      </c>
      <c r="C16" s="8" t="n">
        <v>4</v>
      </c>
      <c r="D16" s="6" t="inlineStr">
        <is>
          <t>count</t>
        </is>
      </c>
      <c r="E16" s="6" t="inlineStr">
        <is>
          <t>data/tuition.json</t>
        </is>
      </c>
    </row>
    <row r="17">
      <c r="A17" s="5" t="inlineStr">
        <is>
          <t>VERIFIED</t>
        </is>
      </c>
      <c r="B17" s="6" t="inlineStr">
        <is>
          <t>Instalment</t>
        </is>
      </c>
      <c r="C17" s="7" t="n">
        <v>791.67</v>
      </c>
      <c r="D17" s="6" t="inlineStr">
        <is>
          <t>USD</t>
        </is>
      </c>
      <c r="E17" s="6" t="inlineStr">
        <is>
          <t>derived</t>
        </is>
      </c>
    </row>
    <row r="18">
      <c r="A18" s="5" t="inlineStr">
        <is>
          <t>VERIFIED</t>
        </is>
      </c>
      <c r="B18" s="6" t="inlineStr">
        <is>
          <t>Refund window</t>
        </is>
      </c>
      <c r="C18" s="8" t="n">
        <v>14</v>
      </c>
      <c r="D18" s="6" t="inlineStr">
        <is>
          <t>days</t>
        </is>
      </c>
      <c r="E18" s="6" t="inlineStr">
        <is>
          <t>Executive Decision E1</t>
        </is>
      </c>
    </row>
    <row r="19">
      <c r="A19" s="5" t="inlineStr">
        <is>
          <t>VERIFIED</t>
        </is>
      </c>
      <c r="B19" s="6" t="inlineStr">
        <is>
          <t>Independent route, per level</t>
        </is>
      </c>
      <c r="C19" s="7" t="n">
        <v>600</v>
      </c>
      <c r="D19" s="6" t="inlineStr">
        <is>
          <t>USD</t>
        </is>
      </c>
      <c r="E19" s="6" t="inlineStr">
        <is>
          <t>data/commercial.json</t>
        </is>
      </c>
    </row>
    <row r="20">
      <c r="A20" s="5" t="inlineStr">
        <is>
          <t>VERIFIED</t>
        </is>
      </c>
      <c r="B20" s="6" t="inlineStr">
        <is>
          <t>Remission fund</t>
        </is>
      </c>
      <c r="C20" s="9" t="n">
        <v>0.05</v>
      </c>
      <c r="D20" s="6" t="inlineStr">
        <is>
          <t>share of tuition</t>
        </is>
      </c>
      <c r="E20" s="6" t="inlineStr">
        <is>
          <t>data/commercial.json</t>
        </is>
      </c>
    </row>
    <row r="21">
      <c r="A21" s="5" t="inlineStr">
        <is>
          <t>VERIFIED</t>
        </is>
      </c>
      <c r="B21" s="6" t="inlineStr">
        <is>
          <t>Referral credit</t>
        </is>
      </c>
      <c r="C21" s="7" t="n">
        <v>250</v>
      </c>
      <c r="D21" s="6" t="inlineStr">
        <is>
          <t>USD</t>
        </is>
      </c>
      <c r="E21" s="6" t="inlineStr">
        <is>
          <t>data/commercial.json</t>
        </is>
      </c>
    </row>
    <row r="23">
      <c r="A23" s="5" t="inlineStr">
        <is>
          <t>ASSUMPTION</t>
        </is>
      </c>
      <c r="B23" s="6" t="inlineStr">
        <is>
          <t>Planning period, first year</t>
        </is>
      </c>
      <c r="C23" s="8" t="n">
        <v>2027</v>
      </c>
      <c r="D23" s="6" t="inlineStr">
        <is>
          <t>year</t>
        </is>
      </c>
      <c r="E23" s="6" t="inlineStr">
        <is>
          <t>data/masterplan.json</t>
        </is>
      </c>
    </row>
    <row r="24">
      <c r="A24" s="5" t="inlineStr">
        <is>
          <t>ASSUMPTION</t>
        </is>
      </c>
      <c r="B24" s="6" t="inlineStr">
        <is>
          <t>Planning period</t>
        </is>
      </c>
      <c r="C24" s="8" t="n">
        <v>10</v>
      </c>
      <c r="D24" s="6" t="inlineStr">
        <is>
          <t>years</t>
        </is>
      </c>
      <c r="E24" s="6" t="inlineStr">
        <is>
          <t>data/masterplan.json</t>
        </is>
      </c>
    </row>
    <row r="25">
      <c r="A25" s="5" t="inlineStr">
        <is>
          <t>ASSUMPTION</t>
        </is>
      </c>
      <c r="B25" s="6" t="inlineStr">
        <is>
          <t>Enquiry → qualified</t>
        </is>
      </c>
      <c r="C25" s="9" t="n">
        <v>0.41</v>
      </c>
      <c r="D25" s="6" t="inlineStr">
        <is>
          <t>rate</t>
        </is>
      </c>
      <c r="E25" s="6" t="inlineStr">
        <is>
          <t>data/masterplan.json</t>
        </is>
      </c>
    </row>
    <row r="26">
      <c r="A26" s="5" t="inlineStr">
        <is>
          <t>ASSUMPTION</t>
        </is>
      </c>
      <c r="B26" s="6" t="inlineStr">
        <is>
          <t>Qualified → consultation</t>
        </is>
      </c>
      <c r="C26" s="9" t="n">
        <v>0.52</v>
      </c>
      <c r="D26" s="6" t="inlineStr">
        <is>
          <t>rate</t>
        </is>
      </c>
      <c r="E26" s="6" t="inlineStr">
        <is>
          <t>data/masterplan.json</t>
        </is>
      </c>
    </row>
    <row r="27">
      <c r="A27" s="5" t="inlineStr">
        <is>
          <t>ASSUMPTION</t>
        </is>
      </c>
      <c r="B27" s="6" t="inlineStr">
        <is>
          <t>Consultation → application</t>
        </is>
      </c>
      <c r="C27" s="9" t="n">
        <v>0.68</v>
      </c>
      <c r="D27" s="6" t="inlineStr">
        <is>
          <t>rate</t>
        </is>
      </c>
      <c r="E27" s="6" t="inlineStr">
        <is>
          <t>data/masterplan.json</t>
        </is>
      </c>
    </row>
    <row r="28">
      <c r="A28" s="5" t="inlineStr">
        <is>
          <t>ASSUMPTION</t>
        </is>
      </c>
      <c r="B28" s="6" t="inlineStr">
        <is>
          <t>Application → offer</t>
        </is>
      </c>
      <c r="C28" s="9" t="n">
        <v>0.8100000000000001</v>
      </c>
      <c r="D28" s="6" t="inlineStr">
        <is>
          <t>rate</t>
        </is>
      </c>
      <c r="E28" s="6" t="inlineStr">
        <is>
          <t>data/masterplan.json</t>
        </is>
      </c>
    </row>
    <row r="29">
      <c r="A29" s="5" t="inlineStr">
        <is>
          <t>ASSUMPTION</t>
        </is>
      </c>
      <c r="B29" s="6" t="inlineStr">
        <is>
          <t>Offer → paid</t>
        </is>
      </c>
      <c r="C29" s="9" t="n">
        <v>0.58</v>
      </c>
      <c r="D29" s="6" t="inlineStr">
        <is>
          <t>rate</t>
        </is>
      </c>
      <c r="E29" s="6" t="inlineStr">
        <is>
          <t>data/masterplan.json</t>
        </is>
      </c>
    </row>
    <row r="30">
      <c r="A30" s="5" t="inlineStr">
        <is>
          <t>ASSUMPTION</t>
        </is>
      </c>
      <c r="B30" s="6" t="inlineStr">
        <is>
          <t>Months per level</t>
        </is>
      </c>
      <c r="C30" s="8" t="n">
        <v>4</v>
      </c>
      <c r="D30" s="6" t="inlineStr">
        <is>
          <t>months</t>
        </is>
      </c>
      <c r="E30" s="6" t="inlineStr">
        <is>
          <t>data/masterplan.json</t>
        </is>
      </c>
    </row>
    <row r="31">
      <c r="A31" s="5" t="inlineStr">
        <is>
          <t>ASSUMPTION</t>
        </is>
      </c>
      <c r="B31" s="6" t="inlineStr">
        <is>
          <t>Refund rate of gross</t>
        </is>
      </c>
      <c r="C31" s="9" t="n">
        <v>0.022</v>
      </c>
      <c r="D31" s="6" t="inlineStr">
        <is>
          <t>rate</t>
        </is>
      </c>
      <c r="E31" s="6" t="inlineStr">
        <is>
          <t>data/masterplan.json</t>
        </is>
      </c>
    </row>
    <row r="32">
      <c r="A32" s="5" t="inlineStr">
        <is>
          <t>ASSUMPTION</t>
        </is>
      </c>
      <c r="B32" s="6" t="inlineStr">
        <is>
          <t>Instructor cost</t>
        </is>
      </c>
      <c r="C32" s="10" t="n">
        <v>62000</v>
      </c>
      <c r="D32" s="6" t="inlineStr">
        <is>
          <t>USD</t>
        </is>
      </c>
      <c r="E32" s="6" t="inlineStr">
        <is>
          <t>data/masterplan.json</t>
        </is>
      </c>
    </row>
    <row r="33">
      <c r="A33" s="5" t="inlineStr">
        <is>
          <t>ASSUMPTION</t>
        </is>
      </c>
      <c r="B33" s="6" t="inlineStr">
        <is>
          <t>Instructor on-cost</t>
        </is>
      </c>
      <c r="C33" s="9" t="n">
        <v>0.21</v>
      </c>
      <c r="D33" s="6" t="inlineStr">
        <is>
          <t>rate</t>
        </is>
      </c>
      <c r="E33" s="6" t="inlineStr">
        <is>
          <t>data/masterplan.json</t>
        </is>
      </c>
    </row>
    <row r="34">
      <c r="A34" s="5" t="inlineStr">
        <is>
          <t>ASSUMPTION</t>
        </is>
      </c>
      <c r="B34" s="6" t="inlineStr">
        <is>
          <t>Technology floor</t>
        </is>
      </c>
      <c r="C34" s="10" t="n">
        <v>74000</v>
      </c>
      <c r="D34" s="6" t="inlineStr">
        <is>
          <t>USD/yr</t>
        </is>
      </c>
      <c r="E34" s="6" t="inlineStr">
        <is>
          <t>data/masterplan.json</t>
        </is>
      </c>
    </row>
    <row r="35">
      <c r="A35" s="5" t="inlineStr">
        <is>
          <t>ASSUMPTION</t>
        </is>
      </c>
      <c r="B35" s="6" t="inlineStr">
        <is>
          <t>Technology per learner</t>
        </is>
      </c>
      <c r="C35" s="10" t="n">
        <v>41</v>
      </c>
      <c r="D35" s="6" t="inlineStr">
        <is>
          <t>USD</t>
        </is>
      </c>
      <c r="E35" s="6" t="inlineStr">
        <is>
          <t>data/masterplan.json</t>
        </is>
      </c>
    </row>
    <row r="36">
      <c r="A36" s="5" t="inlineStr">
        <is>
          <t>ASSUMPTION</t>
        </is>
      </c>
      <c r="B36" s="6" t="inlineStr">
        <is>
          <t>Operating floor</t>
        </is>
      </c>
      <c r="C36" s="10" t="n">
        <v>118000</v>
      </c>
      <c r="D36" s="6" t="inlineStr">
        <is>
          <t>USD/yr</t>
        </is>
      </c>
      <c r="E36" s="6" t="inlineStr">
        <is>
          <t>data/masterplan.json</t>
        </is>
      </c>
    </row>
    <row r="37">
      <c r="A37" s="5" t="inlineStr">
        <is>
          <t>ASSUMPTION</t>
        </is>
      </c>
      <c r="B37" s="6" t="inlineStr">
        <is>
          <t>Operating per learner</t>
        </is>
      </c>
      <c r="C37" s="10" t="n">
        <v>26</v>
      </c>
      <c r="D37" s="6" t="inlineStr">
        <is>
          <t>USD</t>
        </is>
      </c>
      <c r="E37" s="6" t="inlineStr">
        <is>
          <t>data/masterplan.json</t>
        </is>
      </c>
    </row>
    <row r="38">
      <c r="A38" s="5" t="inlineStr">
        <is>
          <t>ASSUMPTION</t>
        </is>
      </c>
      <c r="B38" s="6" t="inlineStr">
        <is>
          <t>Institutional development</t>
        </is>
      </c>
      <c r="C38" s="9" t="n">
        <v>0.055</v>
      </c>
      <c r="D38" s="6" t="inlineStr">
        <is>
          <t>share of net</t>
        </is>
      </c>
      <c r="E38" s="6" t="inlineStr">
        <is>
          <t>data/masterplan.json</t>
        </is>
      </c>
    </row>
    <row r="39">
      <c r="A39" s="5" t="inlineStr">
        <is>
          <t>ASSUMPTION</t>
        </is>
      </c>
      <c r="B39" s="6" t="inlineStr">
        <is>
          <t>Reserve from surplus</t>
        </is>
      </c>
      <c r="C39" s="9" t="n">
        <v>0.6</v>
      </c>
      <c r="D39" s="6" t="inlineStr">
        <is>
          <t>share</t>
        </is>
      </c>
      <c r="E39" s="6" t="inlineStr">
        <is>
          <t>data/masterplan.json</t>
        </is>
      </c>
    </row>
    <row r="40">
      <c r="A40" s="5" t="inlineStr">
        <is>
          <t>ASSUMPTION</t>
        </is>
      </c>
      <c r="B40" s="6" t="inlineStr">
        <is>
          <t>Reserve target</t>
        </is>
      </c>
      <c r="C40" s="8" t="n">
        <v>9</v>
      </c>
      <c r="D40" s="6" t="inlineStr">
        <is>
          <t>months of cost</t>
        </is>
      </c>
      <c r="E40" s="6" t="inlineStr">
        <is>
          <t>data/masterplan.json</t>
        </is>
      </c>
    </row>
    <row r="42">
      <c r="A42" s="5" t="inlineStr">
        <is>
          <t>BOARD</t>
        </is>
      </c>
      <c r="B42" s="6" t="inlineStr">
        <is>
          <t>Alternative Architecture A — 10 levels × 120h at $7,400 / $14,800</t>
        </is>
      </c>
      <c r="E42" s="6" t="inlineStr">
        <is>
          <t>data/masterplan.json § alternative_architecture_a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9" customWidth="1" min="4" max="4"/>
    <col width="10" customWidth="1" min="5" max="5"/>
    <col width="10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WorldWide English College — London Campus</t>
        </is>
      </c>
    </row>
    <row r="2">
      <c r="A2" s="2" t="inlineStr">
        <is>
          <t>02 Qualifications</t>
        </is>
      </c>
    </row>
    <row r="3">
      <c r="A3" s="3" t="inlineStr">
        <is>
          <t>The adopted ladder. One award per level, A1 to C2.</t>
        </is>
      </c>
    </row>
    <row r="6" ht="30" customHeight="1">
      <c r="A6" s="4" t="inlineStr">
        <is>
          <t>Level</t>
        </is>
      </c>
      <c r="B6" s="4" t="inlineStr">
        <is>
          <t>Roman</t>
        </is>
      </c>
      <c r="C6" s="4" t="inlineStr">
        <is>
          <t>Name</t>
        </is>
      </c>
      <c r="D6" s="4" t="inlineStr">
        <is>
          <t>CEFR</t>
        </is>
      </c>
      <c r="E6" s="4" t="inlineStr">
        <is>
          <t>Hours</t>
        </is>
      </c>
      <c r="F6" s="4" t="inlineStr">
        <is>
          <t>Credits</t>
        </is>
      </c>
      <c r="G6" s="4" t="inlineStr">
        <is>
          <t>Fee (USD)</t>
        </is>
      </c>
      <c r="H6" s="4" t="inlineStr">
        <is>
          <t>Cumulative hours</t>
        </is>
      </c>
      <c r="I6" s="4" t="inlineStr">
        <is>
          <t>Cumulative fee</t>
        </is>
      </c>
    </row>
    <row r="7">
      <c r="A7" s="6" t="n">
        <v>1</v>
      </c>
      <c r="B7" s="6" t="inlineStr">
        <is>
          <t>I</t>
        </is>
      </c>
      <c r="C7" s="6" t="inlineStr">
        <is>
          <t>Foundation Programme</t>
        </is>
      </c>
      <c r="D7" s="6" t="inlineStr">
        <is>
          <t>A1</t>
        </is>
      </c>
      <c r="E7" s="8" t="n">
        <v>200</v>
      </c>
      <c r="F7" s="8" t="n">
        <v>20</v>
      </c>
      <c r="G7" s="7" t="n">
        <v>3166.67</v>
      </c>
      <c r="H7" s="8">
        <f>SUM($E$7:E7)</f>
        <v/>
      </c>
      <c r="I7" s="7">
        <f>SUM($G$7:G7)</f>
        <v/>
      </c>
    </row>
    <row r="8">
      <c r="A8" s="6" t="n">
        <v>2</v>
      </c>
      <c r="B8" s="6" t="inlineStr">
        <is>
          <t>II</t>
        </is>
      </c>
      <c r="C8" s="6" t="inlineStr">
        <is>
          <t>Elementary Programme</t>
        </is>
      </c>
      <c r="D8" s="6" t="inlineStr">
        <is>
          <t>A2</t>
        </is>
      </c>
      <c r="E8" s="8" t="n">
        <v>200</v>
      </c>
      <c r="F8" s="8" t="n">
        <v>20</v>
      </c>
      <c r="G8" s="7" t="n">
        <v>3166.67</v>
      </c>
      <c r="H8" s="8">
        <f>SUM($E$7:E8)</f>
        <v/>
      </c>
      <c r="I8" s="7">
        <f>SUM($G$7:G8)</f>
        <v/>
      </c>
    </row>
    <row r="9">
      <c r="A9" s="6" t="n">
        <v>3</v>
      </c>
      <c r="B9" s="6" t="inlineStr">
        <is>
          <t>III</t>
        </is>
      </c>
      <c r="C9" s="6" t="inlineStr">
        <is>
          <t>Intermediate Programme</t>
        </is>
      </c>
      <c r="D9" s="6" t="inlineStr">
        <is>
          <t>B1</t>
        </is>
      </c>
      <c r="E9" s="8" t="n">
        <v>200</v>
      </c>
      <c r="F9" s="8" t="n">
        <v>20</v>
      </c>
      <c r="G9" s="7" t="n">
        <v>3166.67</v>
      </c>
      <c r="H9" s="8">
        <f>SUM($E$7:E9)</f>
        <v/>
      </c>
      <c r="I9" s="7">
        <f>SUM($G$7:G9)</f>
        <v/>
      </c>
    </row>
    <row r="10">
      <c r="A10" s="6" t="n">
        <v>4</v>
      </c>
      <c r="B10" s="6" t="inlineStr">
        <is>
          <t>IV</t>
        </is>
      </c>
      <c r="C10" s="6" t="inlineStr">
        <is>
          <t>Upper Intermediate Programme</t>
        </is>
      </c>
      <c r="D10" s="6" t="inlineStr">
        <is>
          <t>B2</t>
        </is>
      </c>
      <c r="E10" s="8" t="n">
        <v>200</v>
      </c>
      <c r="F10" s="8" t="n">
        <v>20</v>
      </c>
      <c r="G10" s="7" t="n">
        <v>3166.67</v>
      </c>
      <c r="H10" s="8">
        <f>SUM($E$7:E10)</f>
        <v/>
      </c>
      <c r="I10" s="7">
        <f>SUM($G$7:G10)</f>
        <v/>
      </c>
    </row>
    <row r="11">
      <c r="A11" s="6" t="n">
        <v>5</v>
      </c>
      <c r="B11" s="6" t="inlineStr">
        <is>
          <t>V</t>
        </is>
      </c>
      <c r="C11" s="6" t="inlineStr">
        <is>
          <t>Advanced Programme</t>
        </is>
      </c>
      <c r="D11" s="6" t="inlineStr">
        <is>
          <t>C1</t>
        </is>
      </c>
      <c r="E11" s="8" t="n">
        <v>200</v>
      </c>
      <c r="F11" s="8" t="n">
        <v>20</v>
      </c>
      <c r="G11" s="7" t="n">
        <v>3166.67</v>
      </c>
      <c r="H11" s="8">
        <f>SUM($E$7:E11)</f>
        <v/>
      </c>
      <c r="I11" s="7">
        <f>SUM($G$7:G11)</f>
        <v/>
      </c>
    </row>
    <row r="12">
      <c r="A12" s="6" t="n">
        <v>6</v>
      </c>
      <c r="B12" s="6" t="inlineStr">
        <is>
          <t>VI</t>
        </is>
      </c>
      <c r="C12" s="6" t="inlineStr">
        <is>
          <t>English Mastery Programme</t>
        </is>
      </c>
      <c r="D12" s="6" t="inlineStr">
        <is>
          <t>C2</t>
        </is>
      </c>
      <c r="E12" s="8" t="n">
        <v>200</v>
      </c>
      <c r="F12" s="8" t="n">
        <v>20</v>
      </c>
      <c r="G12" s="7" t="n">
        <v>3166.67</v>
      </c>
      <c r="H12" s="8">
        <f>SUM($E$7:E12)</f>
        <v/>
      </c>
      <c r="I12" s="7">
        <f>SUM($G$7:G12)</f>
        <v/>
      </c>
    </row>
    <row r="13">
      <c r="C13" s="5" t="inlineStr">
        <is>
          <t>TOTAL</t>
        </is>
      </c>
      <c r="E13" s="11">
        <f>SUM(E7:E12)</f>
        <v/>
      </c>
      <c r="F13" s="11">
        <f>SUM(F7:F12)</f>
        <v/>
      </c>
      <c r="G13" s="12">
        <f>SUM(G7:G12)</f>
        <v/>
      </c>
    </row>
    <row r="15">
      <c r="A15" s="3" t="inlineStr">
        <is>
          <t>Six levels at $3,166.67 sum to $19,000.02. The College charges $19,000 and waives two cents — see data/tuition.json § _rounding.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0" customWidth="1" min="4" max="4"/>
  </cols>
  <sheetData>
    <row r="1">
      <c r="A1" s="1" t="inlineStr">
        <is>
          <t>WorldWide English College — London Campus</t>
        </is>
      </c>
    </row>
    <row r="2">
      <c r="A2" s="2" t="inlineStr">
        <is>
          <t>03 Pricing</t>
        </is>
      </c>
    </row>
    <row r="3">
      <c r="A3" s="3" t="inlineStr">
        <is>
          <t>What a level fee buys, at the published decomposition.</t>
        </is>
      </c>
    </row>
    <row r="6" ht="30" customHeight="1">
      <c r="A6" s="4" t="inlineStr">
        <is>
          <t>Line</t>
        </is>
      </c>
      <c r="B6" s="4" t="inlineStr">
        <is>
          <t>Share</t>
        </is>
      </c>
      <c r="C6" s="4" t="inlineStr">
        <is>
          <t>Per level (USD)</t>
        </is>
      </c>
      <c r="D6" s="4" t="inlineStr">
        <is>
          <t>Per programme (USD)</t>
        </is>
      </c>
    </row>
    <row r="7">
      <c r="A7" s="6" t="inlineStr">
        <is>
          <t>Teaching and academic supervision</t>
        </is>
      </c>
      <c r="B7" s="9" t="n">
        <v>0.36</v>
      </c>
      <c r="C7" s="7">
        <f>$B$7*3166.67</f>
        <v/>
      </c>
      <c r="D7" s="7">
        <f>C7*6</f>
        <v/>
      </c>
    </row>
    <row r="8">
      <c r="A8" s="6" t="inlineStr">
        <is>
          <t>Assessment and marking</t>
        </is>
      </c>
      <c r="B8" s="9" t="n">
        <v>0.15</v>
      </c>
      <c r="C8" s="7">
        <f>$B$8*3166.67</f>
        <v/>
      </c>
      <c r="D8" s="7">
        <f>C8*6</f>
        <v/>
      </c>
    </row>
    <row r="9">
      <c r="A9" s="6" t="inlineStr">
        <is>
          <t>Curriculum and learning resources</t>
        </is>
      </c>
      <c r="B9" s="9" t="n">
        <v>0.11</v>
      </c>
      <c r="C9" s="7">
        <f>$B$9*3166.67</f>
        <v/>
      </c>
      <c r="D9" s="7">
        <f>C9*6</f>
        <v/>
      </c>
    </row>
    <row r="10">
      <c r="A10" s="6" t="inlineStr">
        <is>
          <t>Learning platform and infrastructure</t>
        </is>
      </c>
      <c r="B10" s="9" t="n">
        <v>0.08</v>
      </c>
      <c r="C10" s="7">
        <f>$B$10*3166.67</f>
        <v/>
      </c>
      <c r="D10" s="7">
        <f>C10*6</f>
        <v/>
      </c>
    </row>
    <row r="11">
      <c r="A11" s="6" t="inlineStr">
        <is>
          <t>Academic advising and support</t>
        </is>
      </c>
      <c r="B11" s="9" t="n">
        <v>0.06</v>
      </c>
      <c r="C11" s="7">
        <f>$B$11*3166.67</f>
        <v/>
      </c>
      <c r="D11" s="7">
        <f>C11*6</f>
        <v/>
      </c>
    </row>
    <row r="12">
      <c r="A12" s="6" t="inlineStr">
        <is>
          <t>Library and publications</t>
        </is>
      </c>
      <c r="B12" s="9" t="n">
        <v>0.04</v>
      </c>
      <c r="C12" s="7">
        <f>$B$12*3166.67</f>
        <v/>
      </c>
      <c r="D12" s="7">
        <f>C12*6</f>
        <v/>
      </c>
    </row>
    <row r="13">
      <c r="A13" s="6" t="inlineStr">
        <is>
          <t>Records, registry and administration</t>
        </is>
      </c>
      <c r="B13" s="9" t="n">
        <v>0.04</v>
      </c>
      <c r="C13" s="7">
        <f>$B$13*3166.67</f>
        <v/>
      </c>
      <c r="D13" s="7">
        <f>C13*6</f>
        <v/>
      </c>
    </row>
    <row r="14">
      <c r="A14" s="6" t="inlineStr">
        <is>
          <t>Certification and verification</t>
        </is>
      </c>
      <c r="B14" s="9" t="n">
        <v>0.05</v>
      </c>
      <c r="C14" s="7">
        <f>$B$14*3166.67</f>
        <v/>
      </c>
      <c r="D14" s="7">
        <f>C14*6</f>
        <v/>
      </c>
    </row>
    <row r="15">
      <c r="A15" s="6" t="inlineStr">
        <is>
          <t>Quality assurance and moderation</t>
        </is>
      </c>
      <c r="B15" s="9" t="n">
        <v>0.05</v>
      </c>
      <c r="C15" s="7">
        <f>$B$15*3166.67</f>
        <v/>
      </c>
      <c r="D15" s="7">
        <f>C15*6</f>
        <v/>
      </c>
    </row>
    <row r="16">
      <c r="A16" s="6" t="inlineStr">
        <is>
          <t>Institutional development</t>
        </is>
      </c>
      <c r="B16" s="9" t="n">
        <v>0.06</v>
      </c>
      <c r="C16" s="7">
        <f>$B$16*3166.67</f>
        <v/>
      </c>
      <c r="D16" s="7">
        <f>C16*6</f>
        <v/>
      </c>
    </row>
    <row r="17">
      <c r="A17" s="5" t="inlineStr">
        <is>
          <t>TOTAL</t>
        </is>
      </c>
      <c r="B17" s="13">
        <f>SUM(B7:B16)</f>
        <v/>
      </c>
      <c r="C17" s="12">
        <f>SUM(C7:C16)</f>
        <v/>
      </c>
      <c r="D17" s="12">
        <f>SUM(D7:D16)</f>
        <v/>
      </c>
    </row>
    <row r="19">
      <c r="A19" s="5" t="inlineStr">
        <is>
          <t>Routes</t>
        </is>
      </c>
    </row>
    <row r="20">
      <c r="A20" s="6" t="inlineStr">
        <is>
          <t>Enrolled — per level</t>
        </is>
      </c>
      <c r="C20" s="7" t="n">
        <v>3166.67</v>
      </c>
    </row>
    <row r="21">
      <c r="A21" s="6" t="inlineStr">
        <is>
          <t>Enrolled — full programme</t>
        </is>
      </c>
      <c r="C21" s="7" t="n">
        <v>19000</v>
      </c>
    </row>
    <row r="22">
      <c r="A22" s="6" t="inlineStr">
        <is>
          <t>Independent — materials</t>
        </is>
      </c>
      <c r="C22" s="7" t="n">
        <v>150</v>
      </c>
    </row>
    <row r="23">
      <c r="A23" s="6" t="inlineStr">
        <is>
          <t>Independent — assessment</t>
        </is>
      </c>
      <c r="C23" s="7" t="n">
        <v>250</v>
      </c>
    </row>
    <row r="24">
      <c r="A24" s="6" t="inlineStr">
        <is>
          <t>Independent — conferral</t>
        </is>
      </c>
      <c r="C24" s="7" t="n">
        <v>200</v>
      </c>
    </row>
    <row r="25">
      <c r="A25" s="6" t="inlineStr">
        <is>
          <t>Independent — per level</t>
        </is>
      </c>
      <c r="C25" s="7" t="n">
        <v>600</v>
      </c>
    </row>
    <row r="27">
      <c r="A27" s="5" t="inlineStr">
        <is>
          <t>Partner bands (off enrolled tuition)</t>
        </is>
      </c>
    </row>
    <row r="28">
      <c r="A28" s="6" t="inlineStr">
        <is>
          <t>10–24 learners</t>
        </is>
      </c>
      <c r="C28" s="9" t="n">
        <v>0.1</v>
      </c>
    </row>
    <row r="29">
      <c r="A29" s="6" t="inlineStr">
        <is>
          <t>25–99 learners</t>
        </is>
      </c>
      <c r="C29" s="9" t="n">
        <v>0.15</v>
      </c>
    </row>
    <row r="30">
      <c r="A30" s="6" t="inlineStr">
        <is>
          <t>100–∞ learners</t>
        </is>
      </c>
      <c r="C30" s="9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WorldWide English College — London Campus</t>
        </is>
      </c>
    </row>
    <row r="2">
      <c r="A2" s="2" t="inlineStr">
        <is>
          <t>04 Expected</t>
        </is>
      </c>
    </row>
    <row r="3">
      <c r="A3" s="3" t="inlineStr">
        <is>
          <t>The central case. Enrolment is acquisition budget ÷ cost per learner, capped by instructors hired.</t>
        </is>
      </c>
    </row>
    <row r="6" ht="30" customHeight="1">
      <c r="A6" s="4" t="inlineStr">
        <is>
          <t>Year</t>
        </is>
      </c>
      <c r="B6" s="4" t="inlineStr">
        <is>
          <t>Calendar</t>
        </is>
      </c>
      <c r="C6" s="4" t="inlineStr">
        <is>
          <t>Acquisition budget</t>
        </is>
      </c>
      <c r="D6" s="4" t="inlineStr">
        <is>
          <t>Enquiries</t>
        </is>
      </c>
      <c r="E6" s="4" t="inlineStr">
        <is>
          <t>Qualified</t>
        </is>
      </c>
      <c r="F6" s="4" t="inlineStr">
        <is>
          <t>Consultations</t>
        </is>
      </c>
      <c r="G6" s="4" t="inlineStr">
        <is>
          <t>Applications</t>
        </is>
      </c>
      <c r="H6" s="4" t="inlineStr">
        <is>
          <t>Offers</t>
        </is>
      </c>
      <c r="I6" s="4" t="inlineStr">
        <is>
          <t>Paid enrolments</t>
        </is>
      </c>
      <c r="J6" s="4" t="inlineStr">
        <is>
          <t>Admitted</t>
        </is>
      </c>
      <c r="K6" s="4" t="inlineStr">
        <is>
          <t>Turned away (capacity)</t>
        </is>
      </c>
      <c r="L6" s="4" t="inlineStr">
        <is>
          <t>Instructors</t>
        </is>
      </c>
      <c r="M6" s="4" t="inlineStr">
        <is>
          <t>Learners / instructor</t>
        </is>
      </c>
      <c r="N6" s="4" t="inlineStr">
        <is>
          <t>Active learners</t>
        </is>
      </c>
      <c r="O6" s="4" t="inlineStr">
        <is>
          <t xml:space="preserve">  of which taught</t>
        </is>
      </c>
      <c r="P6" s="4" t="inlineStr">
        <is>
          <t xml:space="preserve">  of which independent</t>
        </is>
      </c>
      <c r="Q6" s="4" t="inlineStr">
        <is>
          <t>Levels delivered</t>
        </is>
      </c>
      <c r="R6" s="4" t="inlineStr">
        <is>
          <t>Awards conferred</t>
        </is>
      </c>
      <c r="S6" s="4" t="inlineStr">
        <is>
          <t>Full-pathway completions</t>
        </is>
      </c>
      <c r="T6" s="4" t="inlineStr">
        <is>
          <t>Weighted price / level</t>
        </is>
      </c>
      <c r="U6" s="4" t="inlineStr">
        <is>
          <t>Gross tuition</t>
        </is>
      </c>
      <c r="V6" s="4" t="inlineStr">
        <is>
          <t>Refunds</t>
        </is>
      </c>
      <c r="W6" s="4" t="inlineStr">
        <is>
          <t>Remission</t>
        </is>
      </c>
      <c r="X6" s="4" t="inlineStr">
        <is>
          <t>NET TUITION</t>
        </is>
      </c>
      <c r="Y6" s="4" t="inlineStr">
        <is>
          <t>Acquisition cost</t>
        </is>
      </c>
      <c r="Z6" s="4" t="inlineStr">
        <is>
          <t>Instruction</t>
        </is>
      </c>
      <c r="AA6" s="4" t="inlineStr">
        <is>
          <t>Establishment</t>
        </is>
      </c>
      <c r="AB6" s="4" t="inlineStr">
        <is>
          <t>Technology</t>
        </is>
      </c>
      <c r="AC6" s="4" t="inlineStr">
        <is>
          <t>Operating</t>
        </is>
      </c>
      <c r="AD6" s="4" t="inlineStr">
        <is>
          <t>Development</t>
        </is>
      </c>
      <c r="AE6" s="4" t="inlineStr">
        <is>
          <t>TOTAL COST</t>
        </is>
      </c>
      <c r="AF6" s="4" t="inlineStr">
        <is>
          <t>SURPLUS</t>
        </is>
      </c>
      <c r="AG6" s="4" t="inlineStr">
        <is>
          <t>Margin</t>
        </is>
      </c>
      <c r="AH6" s="4" t="inlineStr">
        <is>
          <t>Opening reserve</t>
        </is>
      </c>
      <c r="AI6" s="4" t="inlineStr">
        <is>
          <t>Reserve contribution</t>
        </is>
      </c>
      <c r="AJ6" s="4" t="inlineStr">
        <is>
          <t>Closing reserve</t>
        </is>
      </c>
      <c r="AK6" s="4" t="inlineStr">
        <is>
          <t>Reserve (months of cost)</t>
        </is>
      </c>
      <c r="AL6" s="4" t="inlineStr">
        <is>
          <t>Cumulative net revenue</t>
        </is>
      </c>
    </row>
    <row r="7">
      <c r="A7" s="8" t="n">
        <v>1</v>
      </c>
      <c r="B7" s="8" t="n">
        <v>2027</v>
      </c>
      <c r="C7" s="10" t="n">
        <v>180000</v>
      </c>
      <c r="D7" s="8" t="n">
        <v>3521</v>
      </c>
      <c r="E7" s="8" t="n">
        <v>1444</v>
      </c>
      <c r="F7" s="8" t="n">
        <v>751</v>
      </c>
      <c r="G7" s="8" t="n">
        <v>510</v>
      </c>
      <c r="H7" s="8" t="n">
        <v>413</v>
      </c>
      <c r="I7" s="8" t="n">
        <v>240</v>
      </c>
      <c r="J7" s="8" t="n">
        <v>240</v>
      </c>
      <c r="K7" s="8" t="n">
        <v>0</v>
      </c>
      <c r="L7" s="8" t="n">
        <v>4</v>
      </c>
      <c r="M7" s="14" t="n">
        <v>26.1</v>
      </c>
      <c r="N7" s="8" t="n">
        <v>106</v>
      </c>
      <c r="O7" s="8" t="n">
        <v>61</v>
      </c>
      <c r="P7" s="8" t="n">
        <v>45</v>
      </c>
      <c r="Q7" s="14" t="n">
        <v>312.5</v>
      </c>
      <c r="R7" s="14" t="n">
        <v>312.5</v>
      </c>
      <c r="S7" s="14" t="n">
        <v>0</v>
      </c>
      <c r="T7" s="7" t="n">
        <v>1980.51</v>
      </c>
      <c r="U7" s="10" t="n">
        <v>623518</v>
      </c>
      <c r="V7" s="10" t="n">
        <v>13717</v>
      </c>
      <c r="W7" s="10" t="n">
        <v>31176</v>
      </c>
      <c r="X7" s="15">
        <f>U7-V7-W7</f>
        <v/>
      </c>
      <c r="Y7" s="10" t="n">
        <v>180000</v>
      </c>
      <c r="Z7" s="10" t="n">
        <v>300080</v>
      </c>
      <c r="AA7" s="10" t="n">
        <v>388410</v>
      </c>
      <c r="AB7" s="10" t="n">
        <v>78326</v>
      </c>
      <c r="AC7" s="10" t="n">
        <v>120743</v>
      </c>
      <c r="AD7" s="10" t="n">
        <v>31824</v>
      </c>
      <c r="AE7" s="15">
        <f>SUM(Y7:AD7)</f>
        <v/>
      </c>
      <c r="AF7" s="15">
        <f>X7-AE7</f>
        <v/>
      </c>
      <c r="AG7" s="9">
        <f>IF(X7=0,0,AF7/X7)</f>
        <v/>
      </c>
      <c r="AH7" s="10" t="n">
        <v>0</v>
      </c>
      <c r="AI7" s="10" t="n">
        <v>-520759</v>
      </c>
      <c r="AJ7" s="10" t="n">
        <v>0</v>
      </c>
      <c r="AK7" s="14" t="n">
        <v>0</v>
      </c>
      <c r="AL7" s="15">
        <f>X7</f>
        <v/>
      </c>
    </row>
    <row r="8">
      <c r="A8" s="16" t="n">
        <v>2</v>
      </c>
      <c r="B8" s="16" t="n">
        <v>2028</v>
      </c>
      <c r="C8" s="17" t="n">
        <v>420000</v>
      </c>
      <c r="D8" s="16" t="n">
        <v>7688</v>
      </c>
      <c r="E8" s="16" t="n">
        <v>3152</v>
      </c>
      <c r="F8" s="16" t="n">
        <v>1639</v>
      </c>
      <c r="G8" s="16" t="n">
        <v>1115</v>
      </c>
      <c r="H8" s="16" t="n">
        <v>903</v>
      </c>
      <c r="I8" s="16" t="n">
        <v>524</v>
      </c>
      <c r="J8" s="16" t="n">
        <v>524</v>
      </c>
      <c r="K8" s="16" t="n">
        <v>0</v>
      </c>
      <c r="L8" s="16" t="n">
        <v>10</v>
      </c>
      <c r="M8" s="18" t="n">
        <v>26.1</v>
      </c>
      <c r="N8" s="16" t="n">
        <v>262</v>
      </c>
      <c r="O8" s="16" t="n">
        <v>157</v>
      </c>
      <c r="P8" s="16" t="n">
        <v>104</v>
      </c>
      <c r="Q8" s="18" t="n">
        <v>889.2</v>
      </c>
      <c r="R8" s="18" t="n">
        <v>889.2</v>
      </c>
      <c r="S8" s="18" t="n">
        <v>12.5</v>
      </c>
      <c r="T8" s="19" t="n">
        <v>2061.33</v>
      </c>
      <c r="U8" s="17" t="n">
        <v>1828309</v>
      </c>
      <c r="V8" s="17" t="n">
        <v>40223</v>
      </c>
      <c r="W8" s="17" t="n">
        <v>91415</v>
      </c>
      <c r="X8" s="20">
        <f>U8-V8-W8</f>
        <v/>
      </c>
      <c r="Y8" s="17" t="n">
        <v>420000</v>
      </c>
      <c r="Z8" s="17" t="n">
        <v>750200</v>
      </c>
      <c r="AA8" s="17" t="n">
        <v>640090</v>
      </c>
      <c r="AB8" s="17" t="n">
        <v>84728</v>
      </c>
      <c r="AC8" s="17" t="n">
        <v>124803</v>
      </c>
      <c r="AD8" s="17" t="n">
        <v>131317</v>
      </c>
      <c r="AE8" s="20">
        <f>SUM(Y8:AD8)</f>
        <v/>
      </c>
      <c r="AF8" s="20">
        <f>X8-AE8</f>
        <v/>
      </c>
      <c r="AG8" s="21">
        <f>IF(X8=0,0,AF8/X8)</f>
        <v/>
      </c>
      <c r="AH8" s="17" t="n">
        <v>0</v>
      </c>
      <c r="AI8" s="17" t="n">
        <v>-454467</v>
      </c>
      <c r="AJ8" s="17" t="n">
        <v>0</v>
      </c>
      <c r="AK8" s="18" t="n">
        <v>0</v>
      </c>
      <c r="AL8" s="20">
        <f>AL7+X8</f>
        <v/>
      </c>
    </row>
    <row r="9">
      <c r="A9" s="8" t="n">
        <v>3</v>
      </c>
      <c r="B9" s="8" t="n">
        <v>2029</v>
      </c>
      <c r="C9" s="10" t="n">
        <v>760000</v>
      </c>
      <c r="D9" s="8" t="n">
        <v>13709</v>
      </c>
      <c r="E9" s="8" t="n">
        <v>5621</v>
      </c>
      <c r="F9" s="8" t="n">
        <v>2923</v>
      </c>
      <c r="G9" s="8" t="n">
        <v>1988</v>
      </c>
      <c r="H9" s="8" t="n">
        <v>1610</v>
      </c>
      <c r="I9" s="8" t="n">
        <v>934</v>
      </c>
      <c r="J9" s="8" t="n">
        <v>934</v>
      </c>
      <c r="K9" s="8" t="n">
        <v>0</v>
      </c>
      <c r="L9" s="8" t="n">
        <v>18</v>
      </c>
      <c r="M9" s="14" t="n">
        <v>26</v>
      </c>
      <c r="N9" s="8" t="n">
        <v>479</v>
      </c>
      <c r="O9" s="8" t="n">
        <v>295</v>
      </c>
      <c r="P9" s="8" t="n">
        <v>184</v>
      </c>
      <c r="Q9" s="14" t="n">
        <v>1709.4</v>
      </c>
      <c r="R9" s="14" t="n">
        <v>1709.4</v>
      </c>
      <c r="S9" s="14" t="n">
        <v>52.3</v>
      </c>
      <c r="T9" s="7" t="n">
        <v>2101.96</v>
      </c>
      <c r="U9" s="10" t="n">
        <v>3590453</v>
      </c>
      <c r="V9" s="10" t="n">
        <v>78990</v>
      </c>
      <c r="W9" s="10" t="n">
        <v>179523</v>
      </c>
      <c r="X9" s="15">
        <f>U9-V9-W9</f>
        <v/>
      </c>
      <c r="Y9" s="10" t="n">
        <v>760000</v>
      </c>
      <c r="Z9" s="10" t="n">
        <v>1350360</v>
      </c>
      <c r="AA9" s="10" t="n">
        <v>745360</v>
      </c>
      <c r="AB9" s="10" t="n">
        <v>93645</v>
      </c>
      <c r="AC9" s="10" t="n">
        <v>130458</v>
      </c>
      <c r="AD9" s="10" t="n">
        <v>221257</v>
      </c>
      <c r="AE9" s="15">
        <f>SUM(Y9:AD9)</f>
        <v/>
      </c>
      <c r="AF9" s="15">
        <f>X9-AE9</f>
        <v/>
      </c>
      <c r="AG9" s="9">
        <f>IF(X9=0,0,AF9/X9)</f>
        <v/>
      </c>
      <c r="AH9" s="10" t="n">
        <v>0</v>
      </c>
      <c r="AI9" s="10" t="n">
        <v>18517</v>
      </c>
      <c r="AJ9" s="10" t="n">
        <v>18517</v>
      </c>
      <c r="AK9" s="14" t="n">
        <v>0.1</v>
      </c>
      <c r="AL9" s="15">
        <f>AL8+X9</f>
        <v/>
      </c>
    </row>
    <row r="10">
      <c r="A10" s="16" t="n">
        <v>4</v>
      </c>
      <c r="B10" s="16" t="n">
        <v>2030</v>
      </c>
      <c r="C10" s="17" t="n">
        <v>1150000</v>
      </c>
      <c r="D10" s="16" t="n">
        <v>21415</v>
      </c>
      <c r="E10" s="16" t="n">
        <v>8780</v>
      </c>
      <c r="F10" s="16" t="n">
        <v>4566</v>
      </c>
      <c r="G10" s="16" t="n">
        <v>3105</v>
      </c>
      <c r="H10" s="16" t="n">
        <v>2515</v>
      </c>
      <c r="I10" s="16" t="n">
        <v>1459</v>
      </c>
      <c r="J10" s="16" t="n">
        <v>1459</v>
      </c>
      <c r="K10" s="16" t="n">
        <v>0</v>
      </c>
      <c r="L10" s="16" t="n">
        <v>29</v>
      </c>
      <c r="M10" s="18" t="n">
        <v>26</v>
      </c>
      <c r="N10" s="16" t="n">
        <v>764</v>
      </c>
      <c r="O10" s="16" t="n">
        <v>466</v>
      </c>
      <c r="P10" s="16" t="n">
        <v>298</v>
      </c>
      <c r="Q10" s="18" t="n">
        <v>2795.4</v>
      </c>
      <c r="R10" s="18" t="n">
        <v>2795.4</v>
      </c>
      <c r="S10" s="18" t="n">
        <v>103.3</v>
      </c>
      <c r="T10" s="19" t="n">
        <v>2080.82</v>
      </c>
      <c r="U10" s="17" t="n">
        <v>5857992</v>
      </c>
      <c r="V10" s="17" t="n">
        <v>128876</v>
      </c>
      <c r="W10" s="17" t="n">
        <v>292900</v>
      </c>
      <c r="X10" s="20">
        <f>U10-V10-W10</f>
        <v/>
      </c>
      <c r="Y10" s="17" t="n">
        <v>1150000</v>
      </c>
      <c r="Z10" s="17" t="n">
        <v>2175580</v>
      </c>
      <c r="AA10" s="17" t="n">
        <v>801020</v>
      </c>
      <c r="AB10" s="17" t="n">
        <v>105306</v>
      </c>
      <c r="AC10" s="17" t="n">
        <v>137852</v>
      </c>
      <c r="AD10" s="17" t="n">
        <v>336992</v>
      </c>
      <c r="AE10" s="20">
        <f>SUM(Y10:AD10)</f>
        <v/>
      </c>
      <c r="AF10" s="20">
        <f>X10-AE10</f>
        <v/>
      </c>
      <c r="AG10" s="21">
        <f>IF(X10=0,0,AF10/X10)</f>
        <v/>
      </c>
      <c r="AH10" s="17" t="n">
        <v>18517</v>
      </c>
      <c r="AI10" s="17" t="n">
        <v>437680</v>
      </c>
      <c r="AJ10" s="17" t="n">
        <v>456197</v>
      </c>
      <c r="AK10" s="18" t="n">
        <v>1.2</v>
      </c>
      <c r="AL10" s="20">
        <f>AL9+X10</f>
        <v/>
      </c>
    </row>
    <row r="11">
      <c r="A11" s="8" t="n">
        <v>5</v>
      </c>
      <c r="B11" s="8" t="n">
        <v>2031</v>
      </c>
      <c r="C11" s="10" t="n">
        <v>1520000</v>
      </c>
      <c r="D11" s="8" t="n">
        <v>28960</v>
      </c>
      <c r="E11" s="8" t="n">
        <v>11874</v>
      </c>
      <c r="F11" s="8" t="n">
        <v>6174</v>
      </c>
      <c r="G11" s="8" t="n">
        <v>4198</v>
      </c>
      <c r="H11" s="8" t="n">
        <v>3401</v>
      </c>
      <c r="I11" s="8" t="n">
        <v>1972</v>
      </c>
      <c r="J11" s="8" t="n">
        <v>1972</v>
      </c>
      <c r="K11" s="8" t="n">
        <v>0</v>
      </c>
      <c r="L11" s="8" t="n">
        <v>39</v>
      </c>
      <c r="M11" s="14" t="n">
        <v>25.9</v>
      </c>
      <c r="N11" s="8" t="n">
        <v>1058</v>
      </c>
      <c r="O11" s="8" t="n">
        <v>637</v>
      </c>
      <c r="P11" s="8" t="n">
        <v>421</v>
      </c>
      <c r="Q11" s="14" t="n">
        <v>3987.8</v>
      </c>
      <c r="R11" s="14" t="n">
        <v>3987.8</v>
      </c>
      <c r="S11" s="14" t="n">
        <v>173.4</v>
      </c>
      <c r="T11" s="7" t="n">
        <v>2065.27</v>
      </c>
      <c r="U11" s="10" t="n">
        <v>8292648</v>
      </c>
      <c r="V11" s="10" t="n">
        <v>182438</v>
      </c>
      <c r="W11" s="10" t="n">
        <v>414632</v>
      </c>
      <c r="X11" s="15">
        <f>U11-V11-W11</f>
        <v/>
      </c>
      <c r="Y11" s="10" t="n">
        <v>1520000</v>
      </c>
      <c r="Z11" s="10" t="n">
        <v>2925780</v>
      </c>
      <c r="AA11" s="10" t="n">
        <v>971630</v>
      </c>
      <c r="AB11" s="10" t="n">
        <v>117383</v>
      </c>
      <c r="AC11" s="10" t="n">
        <v>145511</v>
      </c>
      <c r="AD11" s="10" t="n">
        <v>461257</v>
      </c>
      <c r="AE11" s="15">
        <f>SUM(Y11:AD11)</f>
        <v/>
      </c>
      <c r="AF11" s="15">
        <f>X11-AE11</f>
        <v/>
      </c>
      <c r="AG11" s="9">
        <f>IF(X11=0,0,AF11/X11)</f>
        <v/>
      </c>
      <c r="AH11" s="10" t="n">
        <v>456197</v>
      </c>
      <c r="AI11" s="10" t="n">
        <v>932410</v>
      </c>
      <c r="AJ11" s="10" t="n">
        <v>1388607</v>
      </c>
      <c r="AK11" s="14" t="n">
        <v>2.7</v>
      </c>
      <c r="AL11" s="15">
        <f>AL10+X11</f>
        <v/>
      </c>
    </row>
    <row r="12">
      <c r="A12" s="16" t="n">
        <v>6</v>
      </c>
      <c r="B12" s="16" t="n">
        <v>2032</v>
      </c>
      <c r="C12" s="17" t="n">
        <v>1880000</v>
      </c>
      <c r="D12" s="16" t="n">
        <v>36309</v>
      </c>
      <c r="E12" s="16" t="n">
        <v>14887</v>
      </c>
      <c r="F12" s="16" t="n">
        <v>7741</v>
      </c>
      <c r="G12" s="16" t="n">
        <v>5264</v>
      </c>
      <c r="H12" s="16" t="n">
        <v>4264</v>
      </c>
      <c r="I12" s="16" t="n">
        <v>2473</v>
      </c>
      <c r="J12" s="16" t="n">
        <v>2473</v>
      </c>
      <c r="K12" s="16" t="n">
        <v>0</v>
      </c>
      <c r="L12" s="16" t="n">
        <v>49</v>
      </c>
      <c r="M12" s="18" t="n">
        <v>25.9</v>
      </c>
      <c r="N12" s="16" t="n">
        <v>1345</v>
      </c>
      <c r="O12" s="16" t="n">
        <v>804</v>
      </c>
      <c r="P12" s="16" t="n">
        <v>542</v>
      </c>
      <c r="Q12" s="18" t="n">
        <v>5172.8</v>
      </c>
      <c r="R12" s="18" t="n">
        <v>5172.8</v>
      </c>
      <c r="S12" s="18" t="n">
        <v>255</v>
      </c>
      <c r="T12" s="19" t="n">
        <v>2055.31</v>
      </c>
      <c r="U12" s="17" t="n">
        <v>10691084</v>
      </c>
      <c r="V12" s="17" t="n">
        <v>235204</v>
      </c>
      <c r="W12" s="17" t="n">
        <v>534554</v>
      </c>
      <c r="X12" s="20">
        <f>U12-V12-W12</f>
        <v/>
      </c>
      <c r="Y12" s="17" t="n">
        <v>1880000</v>
      </c>
      <c r="Z12" s="17" t="n">
        <v>3675980</v>
      </c>
      <c r="AA12" s="17" t="n">
        <v>1132560</v>
      </c>
      <c r="AB12" s="17" t="n">
        <v>129162</v>
      </c>
      <c r="AC12" s="17" t="n">
        <v>152980</v>
      </c>
      <c r="AD12" s="17" t="n">
        <v>583673</v>
      </c>
      <c r="AE12" s="20">
        <f>SUM(Y12:AD12)</f>
        <v/>
      </c>
      <c r="AF12" s="20">
        <f>X12-AE12</f>
        <v/>
      </c>
      <c r="AG12" s="21">
        <f>IF(X12=0,0,AF12/X12)</f>
        <v/>
      </c>
      <c r="AH12" s="17" t="n">
        <v>1388607</v>
      </c>
      <c r="AI12" s="17" t="n">
        <v>1420183</v>
      </c>
      <c r="AJ12" s="17" t="n">
        <v>2808789</v>
      </c>
      <c r="AK12" s="18" t="n">
        <v>4.5</v>
      </c>
      <c r="AL12" s="20">
        <f>AL11+X12</f>
        <v/>
      </c>
    </row>
    <row r="13">
      <c r="A13" s="8" t="n">
        <v>7</v>
      </c>
      <c r="B13" s="8" t="n">
        <v>2033</v>
      </c>
      <c r="C13" s="10" t="n">
        <v>2180000</v>
      </c>
      <c r="D13" s="8" t="n">
        <v>42368</v>
      </c>
      <c r="E13" s="8" t="n">
        <v>17371</v>
      </c>
      <c r="F13" s="8" t="n">
        <v>9033</v>
      </c>
      <c r="G13" s="8" t="n">
        <v>6142</v>
      </c>
      <c r="H13" s="8" t="n">
        <v>4975</v>
      </c>
      <c r="I13" s="8" t="n">
        <v>2886</v>
      </c>
      <c r="J13" s="8" t="n">
        <v>2886</v>
      </c>
      <c r="K13" s="8" t="n">
        <v>0</v>
      </c>
      <c r="L13" s="8" t="n">
        <v>58</v>
      </c>
      <c r="M13" s="14" t="n">
        <v>25.9</v>
      </c>
      <c r="N13" s="8" t="n">
        <v>1592</v>
      </c>
      <c r="O13" s="8" t="n">
        <v>947</v>
      </c>
      <c r="P13" s="8" t="n">
        <v>645</v>
      </c>
      <c r="Q13" s="14" t="n">
        <v>6229.9</v>
      </c>
      <c r="R13" s="14" t="n">
        <v>6229.9</v>
      </c>
      <c r="S13" s="14" t="n">
        <v>334.7</v>
      </c>
      <c r="T13" s="7" t="n">
        <v>2050.78</v>
      </c>
      <c r="U13" s="10" t="n">
        <v>12830881</v>
      </c>
      <c r="V13" s="10" t="n">
        <v>282279</v>
      </c>
      <c r="W13" s="10" t="n">
        <v>641544</v>
      </c>
      <c r="X13" s="15">
        <f>U13-V13-W13</f>
        <v/>
      </c>
      <c r="Y13" s="10" t="n">
        <v>2180000</v>
      </c>
      <c r="Z13" s="10" t="n">
        <v>4351160</v>
      </c>
      <c r="AA13" s="10" t="n">
        <v>1188220</v>
      </c>
      <c r="AB13" s="10" t="n">
        <v>139283</v>
      </c>
      <c r="AC13" s="10" t="n">
        <v>159399</v>
      </c>
      <c r="AD13" s="10" t="n">
        <v>692888</v>
      </c>
      <c r="AE13" s="15">
        <f>SUM(Y13:AD13)</f>
        <v/>
      </c>
      <c r="AF13" s="15">
        <f>X13-AE13</f>
        <v/>
      </c>
      <c r="AG13" s="9">
        <f>IF(X13=0,0,AF13/X13)</f>
        <v/>
      </c>
      <c r="AH13" s="10" t="n">
        <v>2808789</v>
      </c>
      <c r="AI13" s="10" t="n">
        <v>1917664</v>
      </c>
      <c r="AJ13" s="10" t="n">
        <v>4726454</v>
      </c>
      <c r="AK13" s="14" t="n">
        <v>6.5</v>
      </c>
      <c r="AL13" s="15">
        <f>AL12+X13</f>
        <v/>
      </c>
    </row>
    <row r="14">
      <c r="A14" s="16" t="n">
        <v>8</v>
      </c>
      <c r="B14" s="16" t="n">
        <v>2034</v>
      </c>
      <c r="C14" s="17" t="n">
        <v>2420000</v>
      </c>
      <c r="D14" s="16" t="n">
        <v>47589</v>
      </c>
      <c r="E14" s="16" t="n">
        <v>19512</v>
      </c>
      <c r="F14" s="16" t="n">
        <v>10146</v>
      </c>
      <c r="G14" s="16" t="n">
        <v>6899</v>
      </c>
      <c r="H14" s="16" t="n">
        <v>5588</v>
      </c>
      <c r="I14" s="16" t="n">
        <v>3241</v>
      </c>
      <c r="J14" s="16" t="n">
        <v>3241</v>
      </c>
      <c r="K14" s="16" t="n">
        <v>0</v>
      </c>
      <c r="L14" s="16" t="n">
        <v>65</v>
      </c>
      <c r="M14" s="18" t="n">
        <v>25.9</v>
      </c>
      <c r="N14" s="16" t="n">
        <v>1803</v>
      </c>
      <c r="O14" s="16" t="n">
        <v>1066</v>
      </c>
      <c r="P14" s="16" t="n">
        <v>737</v>
      </c>
      <c r="Q14" s="18" t="n">
        <v>7134.6</v>
      </c>
      <c r="R14" s="18" t="n">
        <v>7134.6</v>
      </c>
      <c r="S14" s="18" t="n">
        <v>408.4</v>
      </c>
      <c r="T14" s="19" t="n">
        <v>2040.84</v>
      </c>
      <c r="U14" s="17" t="n">
        <v>14636337</v>
      </c>
      <c r="V14" s="17" t="n">
        <v>321999</v>
      </c>
      <c r="W14" s="17" t="n">
        <v>731817</v>
      </c>
      <c r="X14" s="20">
        <f>U14-V14-W14</f>
        <v/>
      </c>
      <c r="Y14" s="17" t="n">
        <v>2420000</v>
      </c>
      <c r="Z14" s="17" t="n">
        <v>4876300</v>
      </c>
      <c r="AA14" s="17" t="n">
        <v>1358830</v>
      </c>
      <c r="AB14" s="17" t="n">
        <v>147906</v>
      </c>
      <c r="AC14" s="17" t="n">
        <v>164867</v>
      </c>
      <c r="AD14" s="17" t="n">
        <v>785039</v>
      </c>
      <c r="AE14" s="20">
        <f>SUM(Y14:AD14)</f>
        <v/>
      </c>
      <c r="AF14" s="20">
        <f>X14-AE14</f>
        <v/>
      </c>
      <c r="AG14" s="21">
        <f>IF(X14=0,0,AF14/X14)</f>
        <v/>
      </c>
      <c r="AH14" s="17" t="n">
        <v>4726454</v>
      </c>
      <c r="AI14" s="17" t="n">
        <v>2297747</v>
      </c>
      <c r="AJ14" s="17" t="n">
        <v>7024201</v>
      </c>
      <c r="AK14" s="18" t="n">
        <v>8.6</v>
      </c>
      <c r="AL14" s="20">
        <f>AL13+X14</f>
        <v/>
      </c>
    </row>
    <row r="15">
      <c r="A15" s="8" t="n">
        <v>9</v>
      </c>
      <c r="B15" s="8" t="n">
        <v>2035</v>
      </c>
      <c r="C15" s="10" t="n">
        <v>2610000</v>
      </c>
      <c r="D15" s="8" t="n">
        <v>51042</v>
      </c>
      <c r="E15" s="8" t="n">
        <v>20927</v>
      </c>
      <c r="F15" s="8" t="n">
        <v>10882</v>
      </c>
      <c r="G15" s="8" t="n">
        <v>7400</v>
      </c>
      <c r="H15" s="8" t="n">
        <v>5994</v>
      </c>
      <c r="I15" s="8" t="n">
        <v>3476</v>
      </c>
      <c r="J15" s="8" t="n">
        <v>3476</v>
      </c>
      <c r="K15" s="8" t="n">
        <v>0</v>
      </c>
      <c r="L15" s="8" t="n">
        <v>71</v>
      </c>
      <c r="M15" s="14" t="n">
        <v>25.9</v>
      </c>
      <c r="N15" s="8" t="n">
        <v>1952</v>
      </c>
      <c r="O15" s="8" t="n">
        <v>1156</v>
      </c>
      <c r="P15" s="8" t="n">
        <v>796</v>
      </c>
      <c r="Q15" s="14" t="n">
        <v>7818.1</v>
      </c>
      <c r="R15" s="14" t="n">
        <v>7818.1</v>
      </c>
      <c r="S15" s="14" t="n">
        <v>470</v>
      </c>
      <c r="T15" s="7" t="n">
        <v>2046.32</v>
      </c>
      <c r="U15" s="10" t="n">
        <v>16032050</v>
      </c>
      <c r="V15" s="10" t="n">
        <v>352705</v>
      </c>
      <c r="W15" s="10" t="n">
        <v>801602</v>
      </c>
      <c r="X15" s="15">
        <f>U15-V15-W15</f>
        <v/>
      </c>
      <c r="Y15" s="10" t="n">
        <v>2610000</v>
      </c>
      <c r="Z15" s="10" t="n">
        <v>5326420</v>
      </c>
      <c r="AA15" s="10" t="n">
        <v>1358830</v>
      </c>
      <c r="AB15" s="10" t="n">
        <v>154050</v>
      </c>
      <c r="AC15" s="10" t="n">
        <v>168764</v>
      </c>
      <c r="AD15" s="10" t="n">
        <v>856276</v>
      </c>
      <c r="AE15" s="15">
        <f>SUM(Y15:AD15)</f>
        <v/>
      </c>
      <c r="AF15" s="15">
        <f>X15-AE15</f>
        <v/>
      </c>
      <c r="AG15" s="9">
        <f>IF(X15=0,0,AF15/X15)</f>
        <v/>
      </c>
      <c r="AH15" s="10" t="n">
        <v>7024201</v>
      </c>
      <c r="AI15" s="10" t="n">
        <v>2642042</v>
      </c>
      <c r="AJ15" s="10" t="n">
        <v>9666242</v>
      </c>
      <c r="AK15" s="14" t="n">
        <v>11.1</v>
      </c>
      <c r="AL15" s="15">
        <f>AL14+X15</f>
        <v/>
      </c>
    </row>
    <row r="16">
      <c r="A16" s="16" t="n">
        <v>10</v>
      </c>
      <c r="B16" s="16" t="n">
        <v>2036</v>
      </c>
      <c r="C16" s="17" t="n">
        <v>2760000</v>
      </c>
      <c r="D16" s="16" t="n">
        <v>53975</v>
      </c>
      <c r="E16" s="16" t="n">
        <v>22130</v>
      </c>
      <c r="F16" s="16" t="n">
        <v>11507</v>
      </c>
      <c r="G16" s="16" t="n">
        <v>7825</v>
      </c>
      <c r="H16" s="16" t="n">
        <v>6338</v>
      </c>
      <c r="I16" s="16" t="n">
        <v>3676</v>
      </c>
      <c r="J16" s="16" t="n">
        <v>3676</v>
      </c>
      <c r="K16" s="16" t="n">
        <v>0</v>
      </c>
      <c r="L16" s="16" t="n">
        <v>75</v>
      </c>
      <c r="M16" s="18" t="n">
        <v>25.9</v>
      </c>
      <c r="N16" s="16" t="n">
        <v>2071</v>
      </c>
      <c r="O16" s="16" t="n">
        <v>1227</v>
      </c>
      <c r="P16" s="16" t="n">
        <v>844</v>
      </c>
      <c r="Q16" s="18" t="n">
        <v>8341.9</v>
      </c>
      <c r="R16" s="18" t="n">
        <v>8341.9</v>
      </c>
      <c r="S16" s="18" t="n">
        <v>519.3</v>
      </c>
      <c r="T16" s="19" t="n">
        <v>2046.32</v>
      </c>
      <c r="U16" s="17" t="n">
        <v>17117317</v>
      </c>
      <c r="V16" s="17" t="n">
        <v>376581</v>
      </c>
      <c r="W16" s="17" t="n">
        <v>855866</v>
      </c>
      <c r="X16" s="20">
        <f>U16-V16-W16</f>
        <v/>
      </c>
      <c r="Y16" s="17" t="n">
        <v>2760000</v>
      </c>
      <c r="Z16" s="17" t="n">
        <v>5626500</v>
      </c>
      <c r="AA16" s="17" t="n">
        <v>1358830</v>
      </c>
      <c r="AB16" s="17" t="n">
        <v>158912</v>
      </c>
      <c r="AC16" s="17" t="n">
        <v>171847</v>
      </c>
      <c r="AD16" s="17" t="n">
        <v>911668</v>
      </c>
      <c r="AE16" s="20">
        <f>SUM(Y16:AD16)</f>
        <v/>
      </c>
      <c r="AF16" s="20">
        <f>X16-AE16</f>
        <v/>
      </c>
      <c r="AG16" s="21">
        <f>IF(X16=0,0,AF16/X16)</f>
        <v/>
      </c>
      <c r="AH16" s="17" t="n">
        <v>9666242</v>
      </c>
      <c r="AI16" s="17" t="n">
        <v>2938268</v>
      </c>
      <c r="AJ16" s="17" t="n">
        <v>12604510</v>
      </c>
      <c r="AK16" s="18" t="n">
        <v>13.8</v>
      </c>
      <c r="AL16" s="20">
        <f>AL15+X16</f>
        <v/>
      </c>
    </row>
    <row r="17">
      <c r="B17" s="5" t="inlineStr">
        <is>
          <t>TEN-YEAR TOTAL</t>
        </is>
      </c>
      <c r="C17" s="15">
        <f>SUM(C7:C16)</f>
        <v/>
      </c>
      <c r="Q17" s="22">
        <f>SUM(Q7:Q16)</f>
        <v/>
      </c>
      <c r="R17" s="22">
        <f>SUM(R7:R16)</f>
        <v/>
      </c>
      <c r="S17" s="22">
        <f>SUM(S7:S16)</f>
        <v/>
      </c>
      <c r="U17" s="15">
        <f>SUM(U7:U16)</f>
        <v/>
      </c>
      <c r="V17" s="15">
        <f>SUM(V7:V16)</f>
        <v/>
      </c>
      <c r="W17" s="15">
        <f>SUM(W7:W16)</f>
        <v/>
      </c>
      <c r="X17" s="15">
        <f>SUM(X7:X16)</f>
        <v/>
      </c>
      <c r="Y17" s="15">
        <f>SUM(Y7:Y16)</f>
        <v/>
      </c>
      <c r="Z17" s="15">
        <f>SUM(Z7:Z16)</f>
        <v/>
      </c>
      <c r="AA17" s="15">
        <f>SUM(AA7:AA16)</f>
        <v/>
      </c>
      <c r="AB17" s="15">
        <f>SUM(AB7:AB16)</f>
        <v/>
      </c>
      <c r="AC17" s="15">
        <f>SUM(AC7:AC16)</f>
        <v/>
      </c>
      <c r="AD17" s="15">
        <f>SUM(AD7:AD16)</f>
        <v/>
      </c>
      <c r="AE17" s="15">
        <f>SUM(AE7:AE16)</f>
        <v/>
      </c>
      <c r="AF17" s="15">
        <f>SUM(AF7:AF16)</f>
        <v/>
      </c>
    </row>
    <row r="19">
      <c r="A19" s="3" t="inlineStr">
        <is>
          <t>Every figure computed by scripts/publication/masterplan.mjs from data/tuition.json, data/commercial.json and data/masterplan.json. Planning estimates, not historical results.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WorldWide English College — London Campus</t>
        </is>
      </c>
    </row>
    <row r="2">
      <c r="A2" s="2" t="inlineStr">
        <is>
          <t>05 Conservative</t>
        </is>
      </c>
    </row>
    <row r="3">
      <c r="A3" s="3" t="inlineStr">
        <is>
          <t>Higher acquisition cost, weaker continuation, fewer sponsored cohorts, harder close.</t>
        </is>
      </c>
    </row>
    <row r="6" ht="30" customHeight="1">
      <c r="A6" s="4" t="inlineStr">
        <is>
          <t>Year</t>
        </is>
      </c>
      <c r="B6" s="4" t="inlineStr">
        <is>
          <t>Calendar</t>
        </is>
      </c>
      <c r="C6" s="4" t="inlineStr">
        <is>
          <t>Acquisition budget</t>
        </is>
      </c>
      <c r="D6" s="4" t="inlineStr">
        <is>
          <t>Enquiries</t>
        </is>
      </c>
      <c r="E6" s="4" t="inlineStr">
        <is>
          <t>Qualified</t>
        </is>
      </c>
      <c r="F6" s="4" t="inlineStr">
        <is>
          <t>Consultations</t>
        </is>
      </c>
      <c r="G6" s="4" t="inlineStr">
        <is>
          <t>Applications</t>
        </is>
      </c>
      <c r="H6" s="4" t="inlineStr">
        <is>
          <t>Offers</t>
        </is>
      </c>
      <c r="I6" s="4" t="inlineStr">
        <is>
          <t>Paid enrolments</t>
        </is>
      </c>
      <c r="J6" s="4" t="inlineStr">
        <is>
          <t>Admitted</t>
        </is>
      </c>
      <c r="K6" s="4" t="inlineStr">
        <is>
          <t>Turned away (capacity)</t>
        </is>
      </c>
      <c r="L6" s="4" t="inlineStr">
        <is>
          <t>Instructors</t>
        </is>
      </c>
      <c r="M6" s="4" t="inlineStr">
        <is>
          <t>Learners / instructor</t>
        </is>
      </c>
      <c r="N6" s="4" t="inlineStr">
        <is>
          <t>Active learners</t>
        </is>
      </c>
      <c r="O6" s="4" t="inlineStr">
        <is>
          <t xml:space="preserve">  of which taught</t>
        </is>
      </c>
      <c r="P6" s="4" t="inlineStr">
        <is>
          <t xml:space="preserve">  of which independent</t>
        </is>
      </c>
      <c r="Q6" s="4" t="inlineStr">
        <is>
          <t>Levels delivered</t>
        </is>
      </c>
      <c r="R6" s="4" t="inlineStr">
        <is>
          <t>Awards conferred</t>
        </is>
      </c>
      <c r="S6" s="4" t="inlineStr">
        <is>
          <t>Full-pathway completions</t>
        </is>
      </c>
      <c r="T6" s="4" t="inlineStr">
        <is>
          <t>Weighted price / level</t>
        </is>
      </c>
      <c r="U6" s="4" t="inlineStr">
        <is>
          <t>Gross tuition</t>
        </is>
      </c>
      <c r="V6" s="4" t="inlineStr">
        <is>
          <t>Refunds</t>
        </is>
      </c>
      <c r="W6" s="4" t="inlineStr">
        <is>
          <t>Remission</t>
        </is>
      </c>
      <c r="X6" s="4" t="inlineStr">
        <is>
          <t>NET TUITION</t>
        </is>
      </c>
      <c r="Y6" s="4" t="inlineStr">
        <is>
          <t>Acquisition cost</t>
        </is>
      </c>
      <c r="Z6" s="4" t="inlineStr">
        <is>
          <t>Instruction</t>
        </is>
      </c>
      <c r="AA6" s="4" t="inlineStr">
        <is>
          <t>Establishment</t>
        </is>
      </c>
      <c r="AB6" s="4" t="inlineStr">
        <is>
          <t>Technology</t>
        </is>
      </c>
      <c r="AC6" s="4" t="inlineStr">
        <is>
          <t>Operating</t>
        </is>
      </c>
      <c r="AD6" s="4" t="inlineStr">
        <is>
          <t>Development</t>
        </is>
      </c>
      <c r="AE6" s="4" t="inlineStr">
        <is>
          <t>TOTAL COST</t>
        </is>
      </c>
      <c r="AF6" s="4" t="inlineStr">
        <is>
          <t>SURPLUS</t>
        </is>
      </c>
      <c r="AG6" s="4" t="inlineStr">
        <is>
          <t>Margin</t>
        </is>
      </c>
      <c r="AH6" s="4" t="inlineStr">
        <is>
          <t>Opening reserve</t>
        </is>
      </c>
      <c r="AI6" s="4" t="inlineStr">
        <is>
          <t>Reserve contribution</t>
        </is>
      </c>
      <c r="AJ6" s="4" t="inlineStr">
        <is>
          <t>Closing reserve</t>
        </is>
      </c>
      <c r="AK6" s="4" t="inlineStr">
        <is>
          <t>Reserve (months of cost)</t>
        </is>
      </c>
      <c r="AL6" s="4" t="inlineStr">
        <is>
          <t>Cumulative net revenue</t>
        </is>
      </c>
    </row>
    <row r="7">
      <c r="A7" s="8" t="n">
        <v>1</v>
      </c>
      <c r="B7" s="8" t="n">
        <v>2027</v>
      </c>
      <c r="C7" s="10" t="n">
        <v>180000</v>
      </c>
      <c r="D7" s="8" t="n">
        <v>3191</v>
      </c>
      <c r="E7" s="8" t="n">
        <v>1308</v>
      </c>
      <c r="F7" s="8" t="n">
        <v>680</v>
      </c>
      <c r="G7" s="8" t="n">
        <v>463</v>
      </c>
      <c r="H7" s="8" t="n">
        <v>375</v>
      </c>
      <c r="I7" s="8" t="n">
        <v>187</v>
      </c>
      <c r="J7" s="8" t="n">
        <v>187</v>
      </c>
      <c r="K7" s="8" t="n">
        <v>0</v>
      </c>
      <c r="L7" s="8" t="n">
        <v>3</v>
      </c>
      <c r="M7" s="14" t="n">
        <v>25.5</v>
      </c>
      <c r="N7" s="8" t="n">
        <v>70</v>
      </c>
      <c r="O7" s="8" t="n">
        <v>37</v>
      </c>
      <c r="P7" s="8" t="n">
        <v>32</v>
      </c>
      <c r="Q7" s="14" t="n">
        <v>233.9</v>
      </c>
      <c r="R7" s="14" t="n">
        <v>233.9</v>
      </c>
      <c r="S7" s="14" t="n">
        <v>0</v>
      </c>
      <c r="T7" s="7" t="n">
        <v>1918.89</v>
      </c>
      <c r="U7" s="10" t="n">
        <v>453775</v>
      </c>
      <c r="V7" s="10" t="n">
        <v>9983</v>
      </c>
      <c r="W7" s="10" t="n">
        <v>22689</v>
      </c>
      <c r="X7" s="15">
        <f>U7-V7-W7</f>
        <v/>
      </c>
      <c r="Y7" s="10" t="n">
        <v>180000</v>
      </c>
      <c r="Z7" s="10" t="n">
        <v>225060</v>
      </c>
      <c r="AA7" s="10" t="n">
        <v>388410</v>
      </c>
      <c r="AB7" s="10" t="n">
        <v>76860</v>
      </c>
      <c r="AC7" s="10" t="n">
        <v>119813</v>
      </c>
      <c r="AD7" s="10" t="n">
        <v>23161</v>
      </c>
      <c r="AE7" s="15">
        <f>SUM(Y7:AD7)</f>
        <v/>
      </c>
      <c r="AF7" s="15">
        <f>X7-AE7</f>
        <v/>
      </c>
      <c r="AG7" s="9">
        <f>IF(X7=0,0,AF7/X7)</f>
        <v/>
      </c>
      <c r="AH7" s="10" t="n">
        <v>0</v>
      </c>
      <c r="AI7" s="10" t="n">
        <v>-592201</v>
      </c>
      <c r="AJ7" s="10" t="n">
        <v>0</v>
      </c>
      <c r="AK7" s="14" t="n">
        <v>0</v>
      </c>
      <c r="AL7" s="15">
        <f>X7</f>
        <v/>
      </c>
    </row>
    <row r="8">
      <c r="A8" s="16" t="n">
        <v>2</v>
      </c>
      <c r="B8" s="16" t="n">
        <v>2028</v>
      </c>
      <c r="C8" s="17" t="n">
        <v>420000</v>
      </c>
      <c r="D8" s="16" t="n">
        <v>6967</v>
      </c>
      <c r="E8" s="16" t="n">
        <v>2856</v>
      </c>
      <c r="F8" s="16" t="n">
        <v>1485</v>
      </c>
      <c r="G8" s="16" t="n">
        <v>1010</v>
      </c>
      <c r="H8" s="16" t="n">
        <v>818</v>
      </c>
      <c r="I8" s="16" t="n">
        <v>409</v>
      </c>
      <c r="J8" s="16" t="n">
        <v>409</v>
      </c>
      <c r="K8" s="16" t="n">
        <v>0</v>
      </c>
      <c r="L8" s="16" t="n">
        <v>7</v>
      </c>
      <c r="M8" s="18" t="n">
        <v>25.5</v>
      </c>
      <c r="N8" s="16" t="n">
        <v>169</v>
      </c>
      <c r="O8" s="16" t="n">
        <v>95</v>
      </c>
      <c r="P8" s="16" t="n">
        <v>73</v>
      </c>
      <c r="Q8" s="18" t="n">
        <v>638</v>
      </c>
      <c r="R8" s="18" t="n">
        <v>638</v>
      </c>
      <c r="S8" s="18" t="n">
        <v>6.2</v>
      </c>
      <c r="T8" s="19" t="n">
        <v>2006.26</v>
      </c>
      <c r="U8" s="17" t="n">
        <v>1280973</v>
      </c>
      <c r="V8" s="17" t="n">
        <v>28181</v>
      </c>
      <c r="W8" s="17" t="n">
        <v>64049</v>
      </c>
      <c r="X8" s="20">
        <f>U8-V8-W8</f>
        <v/>
      </c>
      <c r="Y8" s="17" t="n">
        <v>420000</v>
      </c>
      <c r="Z8" s="17" t="n">
        <v>525140</v>
      </c>
      <c r="AA8" s="17" t="n">
        <v>640090</v>
      </c>
      <c r="AB8" s="17" t="n">
        <v>80911</v>
      </c>
      <c r="AC8" s="17" t="n">
        <v>122382</v>
      </c>
      <c r="AD8" s="17" t="n">
        <v>103381</v>
      </c>
      <c r="AE8" s="20">
        <f>SUM(Y8:AD8)</f>
        <v/>
      </c>
      <c r="AF8" s="20">
        <f>X8-AE8</f>
        <v/>
      </c>
      <c r="AG8" s="21">
        <f>IF(X8=0,0,AF8/X8)</f>
        <v/>
      </c>
      <c r="AH8" s="17" t="n">
        <v>0</v>
      </c>
      <c r="AI8" s="17" t="n">
        <v>-703161</v>
      </c>
      <c r="AJ8" s="17" t="n">
        <v>0</v>
      </c>
      <c r="AK8" s="18" t="n">
        <v>0</v>
      </c>
      <c r="AL8" s="20">
        <f>AL7+X8</f>
        <v/>
      </c>
    </row>
    <row r="9">
      <c r="A9" s="8" t="n">
        <v>3</v>
      </c>
      <c r="B9" s="8" t="n">
        <v>2029</v>
      </c>
      <c r="C9" s="10" t="n">
        <v>760000</v>
      </c>
      <c r="D9" s="8" t="n">
        <v>12424</v>
      </c>
      <c r="E9" s="8" t="n">
        <v>5094</v>
      </c>
      <c r="F9" s="8" t="n">
        <v>2649</v>
      </c>
      <c r="G9" s="8" t="n">
        <v>1801</v>
      </c>
      <c r="H9" s="8" t="n">
        <v>1459</v>
      </c>
      <c r="I9" s="8" t="n">
        <v>729</v>
      </c>
      <c r="J9" s="8" t="n">
        <v>729</v>
      </c>
      <c r="K9" s="8" t="n">
        <v>0</v>
      </c>
      <c r="L9" s="8" t="n">
        <v>13</v>
      </c>
      <c r="M9" s="14" t="n">
        <v>25.4</v>
      </c>
      <c r="N9" s="8" t="n">
        <v>307</v>
      </c>
      <c r="O9" s="8" t="n">
        <v>178</v>
      </c>
      <c r="P9" s="8" t="n">
        <v>129</v>
      </c>
      <c r="Q9" s="14" t="n">
        <v>1209.6</v>
      </c>
      <c r="R9" s="14" t="n">
        <v>1209.6</v>
      </c>
      <c r="S9" s="14" t="n">
        <v>25.9</v>
      </c>
      <c r="T9" s="7" t="n">
        <v>2049.9</v>
      </c>
      <c r="U9" s="10" t="n">
        <v>2484943</v>
      </c>
      <c r="V9" s="10" t="n">
        <v>54669</v>
      </c>
      <c r="W9" s="10" t="n">
        <v>124247</v>
      </c>
      <c r="X9" s="15">
        <f>U9-V9-W9</f>
        <v/>
      </c>
      <c r="Y9" s="10" t="n">
        <v>760000</v>
      </c>
      <c r="Z9" s="10" t="n">
        <v>975260</v>
      </c>
      <c r="AA9" s="10" t="n">
        <v>640090</v>
      </c>
      <c r="AB9" s="10" t="n">
        <v>86591</v>
      </c>
      <c r="AC9" s="10" t="n">
        <v>125985</v>
      </c>
      <c r="AD9" s="10" t="n">
        <v>164832</v>
      </c>
      <c r="AE9" s="15">
        <f>SUM(Y9:AD9)</f>
        <v/>
      </c>
      <c r="AF9" s="15">
        <f>X9-AE9</f>
        <v/>
      </c>
      <c r="AG9" s="9">
        <f>IF(X9=0,0,AF9/X9)</f>
        <v/>
      </c>
      <c r="AH9" s="10" t="n">
        <v>0</v>
      </c>
      <c r="AI9" s="10" t="n">
        <v>-446730</v>
      </c>
      <c r="AJ9" s="10" t="n">
        <v>0</v>
      </c>
      <c r="AK9" s="14" t="n">
        <v>0</v>
      </c>
      <c r="AL9" s="15">
        <f>AL8+X9</f>
        <v/>
      </c>
    </row>
    <row r="10">
      <c r="A10" s="16" t="n">
        <v>4</v>
      </c>
      <c r="B10" s="16" t="n">
        <v>2030</v>
      </c>
      <c r="C10" s="17" t="n">
        <v>1150000</v>
      </c>
      <c r="D10" s="16" t="n">
        <v>19407</v>
      </c>
      <c r="E10" s="16" t="n">
        <v>7957</v>
      </c>
      <c r="F10" s="16" t="n">
        <v>4138</v>
      </c>
      <c r="G10" s="16" t="n">
        <v>2814</v>
      </c>
      <c r="H10" s="16" t="n">
        <v>2279</v>
      </c>
      <c r="I10" s="16" t="n">
        <v>1140</v>
      </c>
      <c r="J10" s="16" t="n">
        <v>1140</v>
      </c>
      <c r="K10" s="16" t="n">
        <v>0</v>
      </c>
      <c r="L10" s="16" t="n">
        <v>19</v>
      </c>
      <c r="M10" s="18" t="n">
        <v>25.4</v>
      </c>
      <c r="N10" s="16" t="n">
        <v>488</v>
      </c>
      <c r="O10" s="16" t="n">
        <v>279</v>
      </c>
      <c r="P10" s="16" t="n">
        <v>209</v>
      </c>
      <c r="Q10" s="18" t="n">
        <v>1963.9</v>
      </c>
      <c r="R10" s="18" t="n">
        <v>1963.9</v>
      </c>
      <c r="S10" s="18" t="n">
        <v>51.2</v>
      </c>
      <c r="T10" s="19" t="n">
        <v>2025.11</v>
      </c>
      <c r="U10" s="17" t="n">
        <v>4015613</v>
      </c>
      <c r="V10" s="17" t="n">
        <v>88343</v>
      </c>
      <c r="W10" s="17" t="n">
        <v>200781</v>
      </c>
      <c r="X10" s="20">
        <f>U10-V10-W10</f>
        <v/>
      </c>
      <c r="Y10" s="17" t="n">
        <v>1150000</v>
      </c>
      <c r="Z10" s="17" t="n">
        <v>1425380</v>
      </c>
      <c r="AA10" s="17" t="n">
        <v>745360</v>
      </c>
      <c r="AB10" s="17" t="n">
        <v>93990</v>
      </c>
      <c r="AC10" s="17" t="n">
        <v>130677</v>
      </c>
      <c r="AD10" s="17" t="n">
        <v>242957</v>
      </c>
      <c r="AE10" s="20">
        <f>SUM(Y10:AD10)</f>
        <v/>
      </c>
      <c r="AF10" s="20">
        <f>X10-AE10</f>
        <v/>
      </c>
      <c r="AG10" s="21">
        <f>IF(X10=0,0,AF10/X10)</f>
        <v/>
      </c>
      <c r="AH10" s="17" t="n">
        <v>0</v>
      </c>
      <c r="AI10" s="17" t="n">
        <v>-61875</v>
      </c>
      <c r="AJ10" s="17" t="n">
        <v>0</v>
      </c>
      <c r="AK10" s="18" t="n">
        <v>0</v>
      </c>
      <c r="AL10" s="20">
        <f>AL9+X10</f>
        <v/>
      </c>
    </row>
    <row r="11">
      <c r="A11" s="8" t="n">
        <v>5</v>
      </c>
      <c r="B11" s="8" t="n">
        <v>2031</v>
      </c>
      <c r="C11" s="10" t="n">
        <v>1520000</v>
      </c>
      <c r="D11" s="8" t="n">
        <v>26245</v>
      </c>
      <c r="E11" s="8" t="n">
        <v>10760</v>
      </c>
      <c r="F11" s="8" t="n">
        <v>5595</v>
      </c>
      <c r="G11" s="8" t="n">
        <v>3805</v>
      </c>
      <c r="H11" s="8" t="n">
        <v>3082</v>
      </c>
      <c r="I11" s="8" t="n">
        <v>1541</v>
      </c>
      <c r="J11" s="8" t="n">
        <v>1541</v>
      </c>
      <c r="K11" s="8" t="n">
        <v>0</v>
      </c>
      <c r="L11" s="8" t="n">
        <v>26</v>
      </c>
      <c r="M11" s="14" t="n">
        <v>25.3</v>
      </c>
      <c r="N11" s="8" t="n">
        <v>673</v>
      </c>
      <c r="O11" s="8" t="n">
        <v>379</v>
      </c>
      <c r="P11" s="8" t="n">
        <v>293</v>
      </c>
      <c r="Q11" s="14" t="n">
        <v>2779.5</v>
      </c>
      <c r="R11" s="14" t="n">
        <v>2779.5</v>
      </c>
      <c r="S11" s="14" t="n">
        <v>86</v>
      </c>
      <c r="T11" s="7" t="n">
        <v>2007.22</v>
      </c>
      <c r="U11" s="10" t="n">
        <v>5629708</v>
      </c>
      <c r="V11" s="10" t="n">
        <v>123854</v>
      </c>
      <c r="W11" s="10" t="n">
        <v>281485</v>
      </c>
      <c r="X11" s="15">
        <f>U11-V11-W11</f>
        <v/>
      </c>
      <c r="Y11" s="10" t="n">
        <v>1520000</v>
      </c>
      <c r="Z11" s="10" t="n">
        <v>1950520</v>
      </c>
      <c r="AA11" s="10" t="n">
        <v>745360</v>
      </c>
      <c r="AB11" s="10" t="n">
        <v>101578</v>
      </c>
      <c r="AC11" s="10" t="n">
        <v>135489</v>
      </c>
      <c r="AD11" s="10" t="n">
        <v>325340</v>
      </c>
      <c r="AE11" s="15">
        <f>SUM(Y11:AD11)</f>
        <v/>
      </c>
      <c r="AF11" s="15">
        <f>X11-AE11</f>
        <v/>
      </c>
      <c r="AG11" s="9">
        <f>IF(X11=0,0,AF11/X11)</f>
        <v/>
      </c>
      <c r="AH11" s="10" t="n">
        <v>0</v>
      </c>
      <c r="AI11" s="10" t="n">
        <v>267649</v>
      </c>
      <c r="AJ11" s="10" t="n">
        <v>267649</v>
      </c>
      <c r="AK11" s="14" t="n">
        <v>0.7</v>
      </c>
      <c r="AL11" s="15">
        <f>AL10+X11</f>
        <v/>
      </c>
    </row>
    <row r="12">
      <c r="A12" s="16" t="n">
        <v>6</v>
      </c>
      <c r="B12" s="16" t="n">
        <v>2032</v>
      </c>
      <c r="C12" s="17" t="n">
        <v>1880000</v>
      </c>
      <c r="D12" s="16" t="n">
        <v>32905</v>
      </c>
      <c r="E12" s="16" t="n">
        <v>13491</v>
      </c>
      <c r="F12" s="16" t="n">
        <v>7015</v>
      </c>
      <c r="G12" s="16" t="n">
        <v>4770</v>
      </c>
      <c r="H12" s="16" t="n">
        <v>3864</v>
      </c>
      <c r="I12" s="16" t="n">
        <v>1932</v>
      </c>
      <c r="J12" s="16" t="n">
        <v>1932</v>
      </c>
      <c r="K12" s="16" t="n">
        <v>0</v>
      </c>
      <c r="L12" s="16" t="n">
        <v>33</v>
      </c>
      <c r="M12" s="18" t="n">
        <v>25.3</v>
      </c>
      <c r="N12" s="16" t="n">
        <v>853</v>
      </c>
      <c r="O12" s="16" t="n">
        <v>476</v>
      </c>
      <c r="P12" s="16" t="n">
        <v>377</v>
      </c>
      <c r="Q12" s="18" t="n">
        <v>3586.2</v>
      </c>
      <c r="R12" s="18" t="n">
        <v>3586.2</v>
      </c>
      <c r="S12" s="18" t="n">
        <v>126.4</v>
      </c>
      <c r="T12" s="19" t="n">
        <v>1995.86</v>
      </c>
      <c r="U12" s="17" t="n">
        <v>7212137</v>
      </c>
      <c r="V12" s="17" t="n">
        <v>158667</v>
      </c>
      <c r="W12" s="17" t="n">
        <v>360607</v>
      </c>
      <c r="X12" s="20">
        <f>U12-V12-W12</f>
        <v/>
      </c>
      <c r="Y12" s="17" t="n">
        <v>1880000</v>
      </c>
      <c r="Z12" s="17" t="n">
        <v>2475660</v>
      </c>
      <c r="AA12" s="17" t="n">
        <v>915970</v>
      </c>
      <c r="AB12" s="17" t="n">
        <v>108977</v>
      </c>
      <c r="AC12" s="17" t="n">
        <v>140180</v>
      </c>
      <c r="AD12" s="17" t="n">
        <v>406107</v>
      </c>
      <c r="AE12" s="20">
        <f>SUM(Y12:AD12)</f>
        <v/>
      </c>
      <c r="AF12" s="20">
        <f>X12-AE12</f>
        <v/>
      </c>
      <c r="AG12" s="21">
        <f>IF(X12=0,0,AF12/X12)</f>
        <v/>
      </c>
      <c r="AH12" s="17" t="n">
        <v>267649</v>
      </c>
      <c r="AI12" s="17" t="n">
        <v>459581</v>
      </c>
      <c r="AJ12" s="17" t="n">
        <v>727230</v>
      </c>
      <c r="AK12" s="18" t="n">
        <v>1.5</v>
      </c>
      <c r="AL12" s="20">
        <f>AL11+X12</f>
        <v/>
      </c>
    </row>
    <row r="13">
      <c r="A13" s="8" t="n">
        <v>7</v>
      </c>
      <c r="B13" s="8" t="n">
        <v>2033</v>
      </c>
      <c r="C13" s="10" t="n">
        <v>2180000</v>
      </c>
      <c r="D13" s="8" t="n">
        <v>38396</v>
      </c>
      <c r="E13" s="8" t="n">
        <v>15742</v>
      </c>
      <c r="F13" s="8" t="n">
        <v>8186</v>
      </c>
      <c r="G13" s="8" t="n">
        <v>5566</v>
      </c>
      <c r="H13" s="8" t="n">
        <v>4509</v>
      </c>
      <c r="I13" s="8" t="n">
        <v>2254</v>
      </c>
      <c r="J13" s="8" t="n">
        <v>2254</v>
      </c>
      <c r="K13" s="8" t="n">
        <v>0</v>
      </c>
      <c r="L13" s="8" t="n">
        <v>39</v>
      </c>
      <c r="M13" s="14" t="n">
        <v>25.3</v>
      </c>
      <c r="N13" s="8" t="n">
        <v>1007</v>
      </c>
      <c r="O13" s="8" t="n">
        <v>559</v>
      </c>
      <c r="P13" s="8" t="n">
        <v>448</v>
      </c>
      <c r="Q13" s="14" t="n">
        <v>4299.2</v>
      </c>
      <c r="R13" s="14" t="n">
        <v>4299.2</v>
      </c>
      <c r="S13" s="14" t="n">
        <v>165.9</v>
      </c>
      <c r="T13" s="7" t="n">
        <v>1990.54</v>
      </c>
      <c r="U13" s="10" t="n">
        <v>8611279</v>
      </c>
      <c r="V13" s="10" t="n">
        <v>189448</v>
      </c>
      <c r="W13" s="10" t="n">
        <v>430564</v>
      </c>
      <c r="X13" s="15">
        <f>U13-V13-W13</f>
        <v/>
      </c>
      <c r="Y13" s="10" t="n">
        <v>2180000</v>
      </c>
      <c r="Z13" s="10" t="n">
        <v>2925780</v>
      </c>
      <c r="AA13" s="10" t="n">
        <v>915970</v>
      </c>
      <c r="AB13" s="10" t="n">
        <v>115290</v>
      </c>
      <c r="AC13" s="10" t="n">
        <v>144184</v>
      </c>
      <c r="AD13" s="10" t="n">
        <v>477520</v>
      </c>
      <c r="AE13" s="15">
        <f>SUM(Y13:AD13)</f>
        <v/>
      </c>
      <c r="AF13" s="15">
        <f>X13-AE13</f>
        <v/>
      </c>
      <c r="AG13" s="9">
        <f>IF(X13=0,0,AF13/X13)</f>
        <v/>
      </c>
      <c r="AH13" s="10" t="n">
        <v>727230</v>
      </c>
      <c r="AI13" s="10" t="n">
        <v>739514</v>
      </c>
      <c r="AJ13" s="10" t="n">
        <v>1466744</v>
      </c>
      <c r="AK13" s="14" t="n">
        <v>2.6</v>
      </c>
      <c r="AL13" s="15">
        <f>AL12+X13</f>
        <v/>
      </c>
    </row>
    <row r="14">
      <c r="A14" s="16" t="n">
        <v>8</v>
      </c>
      <c r="B14" s="16" t="n">
        <v>2034</v>
      </c>
      <c r="C14" s="17" t="n">
        <v>2420000</v>
      </c>
      <c r="D14" s="16" t="n">
        <v>43128</v>
      </c>
      <c r="E14" s="16" t="n">
        <v>17682</v>
      </c>
      <c r="F14" s="16" t="n">
        <v>9195</v>
      </c>
      <c r="G14" s="16" t="n">
        <v>6253</v>
      </c>
      <c r="H14" s="16" t="n">
        <v>5065</v>
      </c>
      <c r="I14" s="16" t="n">
        <v>2532</v>
      </c>
      <c r="J14" s="16" t="n">
        <v>2532</v>
      </c>
      <c r="K14" s="16" t="n">
        <v>0</v>
      </c>
      <c r="L14" s="16" t="n">
        <v>43</v>
      </c>
      <c r="M14" s="18" t="n">
        <v>25.3</v>
      </c>
      <c r="N14" s="16" t="n">
        <v>1139</v>
      </c>
      <c r="O14" s="16" t="n">
        <v>628</v>
      </c>
      <c r="P14" s="16" t="n">
        <v>511</v>
      </c>
      <c r="Q14" s="18" t="n">
        <v>4908.8</v>
      </c>
      <c r="R14" s="18" t="n">
        <v>4908.8</v>
      </c>
      <c r="S14" s="18" t="n">
        <v>202.5</v>
      </c>
      <c r="T14" s="19" t="n">
        <v>1979.52</v>
      </c>
      <c r="U14" s="17" t="n">
        <v>9786107</v>
      </c>
      <c r="V14" s="17" t="n">
        <v>215294</v>
      </c>
      <c r="W14" s="17" t="n">
        <v>489305</v>
      </c>
      <c r="X14" s="20">
        <f>U14-V14-W14</f>
        <v/>
      </c>
      <c r="Y14" s="17" t="n">
        <v>2420000</v>
      </c>
      <c r="Z14" s="17" t="n">
        <v>3225860</v>
      </c>
      <c r="AA14" s="17" t="n">
        <v>971630</v>
      </c>
      <c r="AB14" s="17" t="n">
        <v>120679</v>
      </c>
      <c r="AC14" s="17" t="n">
        <v>147601</v>
      </c>
      <c r="AD14" s="17" t="n">
        <v>537483</v>
      </c>
      <c r="AE14" s="20">
        <f>SUM(Y14:AD14)</f>
        <v/>
      </c>
      <c r="AF14" s="20">
        <f>X14-AE14</f>
        <v/>
      </c>
      <c r="AG14" s="21">
        <f>IF(X14=0,0,AF14/X14)</f>
        <v/>
      </c>
      <c r="AH14" s="17" t="n">
        <v>1466744</v>
      </c>
      <c r="AI14" s="17" t="n">
        <v>994952</v>
      </c>
      <c r="AJ14" s="17" t="n">
        <v>2461696</v>
      </c>
      <c r="AK14" s="18" t="n">
        <v>4</v>
      </c>
      <c r="AL14" s="20">
        <f>AL13+X14</f>
        <v/>
      </c>
    </row>
    <row r="15">
      <c r="A15" s="8" t="n">
        <v>9</v>
      </c>
      <c r="B15" s="8" t="n">
        <v>2035</v>
      </c>
      <c r="C15" s="10" t="n">
        <v>2610000</v>
      </c>
      <c r="D15" s="8" t="n">
        <v>46256</v>
      </c>
      <c r="E15" s="8" t="n">
        <v>18965</v>
      </c>
      <c r="F15" s="8" t="n">
        <v>9862</v>
      </c>
      <c r="G15" s="8" t="n">
        <v>6706</v>
      </c>
      <c r="H15" s="8" t="n">
        <v>5432</v>
      </c>
      <c r="I15" s="8" t="n">
        <v>2716</v>
      </c>
      <c r="J15" s="8" t="n">
        <v>2716</v>
      </c>
      <c r="K15" s="8" t="n">
        <v>0</v>
      </c>
      <c r="L15" s="8" t="n">
        <v>47</v>
      </c>
      <c r="M15" s="14" t="n">
        <v>25.3</v>
      </c>
      <c r="N15" s="8" t="n">
        <v>1231</v>
      </c>
      <c r="O15" s="8" t="n">
        <v>680</v>
      </c>
      <c r="P15" s="8" t="n">
        <v>551</v>
      </c>
      <c r="Q15" s="14" t="n">
        <v>5362.9</v>
      </c>
      <c r="R15" s="14" t="n">
        <v>5362.9</v>
      </c>
      <c r="S15" s="14" t="n">
        <v>233</v>
      </c>
      <c r="T15" s="7" t="n">
        <v>1985.29</v>
      </c>
      <c r="U15" s="10" t="n">
        <v>10689061</v>
      </c>
      <c r="V15" s="10" t="n">
        <v>235159</v>
      </c>
      <c r="W15" s="10" t="n">
        <v>534453</v>
      </c>
      <c r="X15" s="15">
        <f>U15-V15-W15</f>
        <v/>
      </c>
      <c r="Y15" s="10" t="n">
        <v>2610000</v>
      </c>
      <c r="Z15" s="10" t="n">
        <v>3525940</v>
      </c>
      <c r="AA15" s="10" t="n">
        <v>1082950</v>
      </c>
      <c r="AB15" s="10" t="n">
        <v>124473</v>
      </c>
      <c r="AC15" s="10" t="n">
        <v>150007</v>
      </c>
      <c r="AD15" s="10" t="n">
        <v>583570</v>
      </c>
      <c r="AE15" s="15">
        <f>SUM(Y15:AD15)</f>
        <v/>
      </c>
      <c r="AF15" s="15">
        <f>X15-AE15</f>
        <v/>
      </c>
      <c r="AG15" s="9">
        <f>IF(X15=0,0,AF15/X15)</f>
        <v/>
      </c>
      <c r="AH15" s="10" t="n">
        <v>2461696</v>
      </c>
      <c r="AI15" s="10" t="n">
        <v>1105505</v>
      </c>
      <c r="AJ15" s="10" t="n">
        <v>3567202</v>
      </c>
      <c r="AK15" s="14" t="n">
        <v>5.3</v>
      </c>
      <c r="AL15" s="15">
        <f>AL14+X15</f>
        <v/>
      </c>
    </row>
    <row r="16">
      <c r="A16" s="16" t="n">
        <v>10</v>
      </c>
      <c r="B16" s="16" t="n">
        <v>2036</v>
      </c>
      <c r="C16" s="17" t="n">
        <v>2760000</v>
      </c>
      <c r="D16" s="16" t="n">
        <v>48915</v>
      </c>
      <c r="E16" s="16" t="n">
        <v>20055</v>
      </c>
      <c r="F16" s="16" t="n">
        <v>10429</v>
      </c>
      <c r="G16" s="16" t="n">
        <v>7091</v>
      </c>
      <c r="H16" s="16" t="n">
        <v>5744</v>
      </c>
      <c r="I16" s="16" t="n">
        <v>2872</v>
      </c>
      <c r="J16" s="16" t="n">
        <v>2872</v>
      </c>
      <c r="K16" s="16" t="n">
        <v>0</v>
      </c>
      <c r="L16" s="16" t="n">
        <v>50</v>
      </c>
      <c r="M16" s="18" t="n">
        <v>25.3</v>
      </c>
      <c r="N16" s="16" t="n">
        <v>1305</v>
      </c>
      <c r="O16" s="16" t="n">
        <v>721</v>
      </c>
      <c r="P16" s="16" t="n">
        <v>584</v>
      </c>
      <c r="Q16" s="18" t="n">
        <v>5713.6</v>
      </c>
      <c r="R16" s="18" t="n">
        <v>5713.6</v>
      </c>
      <c r="S16" s="18" t="n">
        <v>257.5</v>
      </c>
      <c r="T16" s="19" t="n">
        <v>1985.29</v>
      </c>
      <c r="U16" s="17" t="n">
        <v>11395841</v>
      </c>
      <c r="V16" s="17" t="n">
        <v>250709</v>
      </c>
      <c r="W16" s="17" t="n">
        <v>569792</v>
      </c>
      <c r="X16" s="20">
        <f>U16-V16-W16</f>
        <v/>
      </c>
      <c r="Y16" s="17" t="n">
        <v>2760000</v>
      </c>
      <c r="Z16" s="17" t="n">
        <v>3751000</v>
      </c>
      <c r="AA16" s="17" t="n">
        <v>1132560</v>
      </c>
      <c r="AB16" s="17" t="n">
        <v>127509</v>
      </c>
      <c r="AC16" s="17" t="n">
        <v>151933</v>
      </c>
      <c r="AD16" s="17" t="n">
        <v>619644</v>
      </c>
      <c r="AE16" s="20">
        <f>SUM(Y16:AD16)</f>
        <v/>
      </c>
      <c r="AF16" s="20">
        <f>X16-AE16</f>
        <v/>
      </c>
      <c r="AG16" s="21">
        <f>IF(X16=0,0,AF16/X16)</f>
        <v/>
      </c>
      <c r="AH16" s="17" t="n">
        <v>3567202</v>
      </c>
      <c r="AI16" s="17" t="n">
        <v>1219617</v>
      </c>
      <c r="AJ16" s="17" t="n">
        <v>4786819</v>
      </c>
      <c r="AK16" s="18" t="n">
        <v>6.7</v>
      </c>
      <c r="AL16" s="20">
        <f>AL15+X16</f>
        <v/>
      </c>
    </row>
    <row r="17">
      <c r="B17" s="5" t="inlineStr">
        <is>
          <t>TEN-YEAR TOTAL</t>
        </is>
      </c>
      <c r="C17" s="15">
        <f>SUM(C7:C16)</f>
        <v/>
      </c>
      <c r="Q17" s="22">
        <f>SUM(Q7:Q16)</f>
        <v/>
      </c>
      <c r="R17" s="22">
        <f>SUM(R7:R16)</f>
        <v/>
      </c>
      <c r="S17" s="22">
        <f>SUM(S7:S16)</f>
        <v/>
      </c>
      <c r="U17" s="15">
        <f>SUM(U7:U16)</f>
        <v/>
      </c>
      <c r="V17" s="15">
        <f>SUM(V7:V16)</f>
        <v/>
      </c>
      <c r="W17" s="15">
        <f>SUM(W7:W16)</f>
        <v/>
      </c>
      <c r="X17" s="15">
        <f>SUM(X7:X16)</f>
        <v/>
      </c>
      <c r="Y17" s="15">
        <f>SUM(Y7:Y16)</f>
        <v/>
      </c>
      <c r="Z17" s="15">
        <f>SUM(Z7:Z16)</f>
        <v/>
      </c>
      <c r="AA17" s="15">
        <f>SUM(AA7:AA16)</f>
        <v/>
      </c>
      <c r="AB17" s="15">
        <f>SUM(AB7:AB16)</f>
        <v/>
      </c>
      <c r="AC17" s="15">
        <f>SUM(AC7:AC16)</f>
        <v/>
      </c>
      <c r="AD17" s="15">
        <f>SUM(AD7:AD16)</f>
        <v/>
      </c>
      <c r="AE17" s="15">
        <f>SUM(AE7:AE16)</f>
        <v/>
      </c>
      <c r="AF17" s="15">
        <f>SUM(AF7:AF16)</f>
        <v/>
      </c>
    </row>
    <row r="19">
      <c r="A19" s="3" t="inlineStr">
        <is>
          <t>Every figure computed by scripts/publication/masterplan.mjs from data/tuition.json, data/commercial.json and data/masterplan.json. Planning estimates, not historical results.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WorldWide English College — London Campus</t>
        </is>
      </c>
    </row>
    <row r="2">
      <c r="A2" s="2" t="inlineStr">
        <is>
          <t>06 Growth</t>
        </is>
      </c>
    </row>
    <row r="3">
      <c r="A3" s="3" t="inlineStr">
        <is>
          <t>Lower acquisition cost, stronger continuation, more sponsored cohorts, better close.</t>
        </is>
      </c>
    </row>
    <row r="6" ht="30" customHeight="1">
      <c r="A6" s="4" t="inlineStr">
        <is>
          <t>Year</t>
        </is>
      </c>
      <c r="B6" s="4" t="inlineStr">
        <is>
          <t>Calendar</t>
        </is>
      </c>
      <c r="C6" s="4" t="inlineStr">
        <is>
          <t>Acquisition budget</t>
        </is>
      </c>
      <c r="D6" s="4" t="inlineStr">
        <is>
          <t>Enquiries</t>
        </is>
      </c>
      <c r="E6" s="4" t="inlineStr">
        <is>
          <t>Qualified</t>
        </is>
      </c>
      <c r="F6" s="4" t="inlineStr">
        <is>
          <t>Consultations</t>
        </is>
      </c>
      <c r="G6" s="4" t="inlineStr">
        <is>
          <t>Applications</t>
        </is>
      </c>
      <c r="H6" s="4" t="inlineStr">
        <is>
          <t>Offers</t>
        </is>
      </c>
      <c r="I6" s="4" t="inlineStr">
        <is>
          <t>Paid enrolments</t>
        </is>
      </c>
      <c r="J6" s="4" t="inlineStr">
        <is>
          <t>Admitted</t>
        </is>
      </c>
      <c r="K6" s="4" t="inlineStr">
        <is>
          <t>Turned away (capacity)</t>
        </is>
      </c>
      <c r="L6" s="4" t="inlineStr">
        <is>
          <t>Instructors</t>
        </is>
      </c>
      <c r="M6" s="4" t="inlineStr">
        <is>
          <t>Learners / instructor</t>
        </is>
      </c>
      <c r="N6" s="4" t="inlineStr">
        <is>
          <t>Active learners</t>
        </is>
      </c>
      <c r="O6" s="4" t="inlineStr">
        <is>
          <t xml:space="preserve">  of which taught</t>
        </is>
      </c>
      <c r="P6" s="4" t="inlineStr">
        <is>
          <t xml:space="preserve">  of which independent</t>
        </is>
      </c>
      <c r="Q6" s="4" t="inlineStr">
        <is>
          <t>Levels delivered</t>
        </is>
      </c>
      <c r="R6" s="4" t="inlineStr">
        <is>
          <t>Awards conferred</t>
        </is>
      </c>
      <c r="S6" s="4" t="inlineStr">
        <is>
          <t>Full-pathway completions</t>
        </is>
      </c>
      <c r="T6" s="4" t="inlineStr">
        <is>
          <t>Weighted price / level</t>
        </is>
      </c>
      <c r="U6" s="4" t="inlineStr">
        <is>
          <t>Gross tuition</t>
        </is>
      </c>
      <c r="V6" s="4" t="inlineStr">
        <is>
          <t>Refunds</t>
        </is>
      </c>
      <c r="W6" s="4" t="inlineStr">
        <is>
          <t>Remission</t>
        </is>
      </c>
      <c r="X6" s="4" t="inlineStr">
        <is>
          <t>NET TUITION</t>
        </is>
      </c>
      <c r="Y6" s="4" t="inlineStr">
        <is>
          <t>Acquisition cost</t>
        </is>
      </c>
      <c r="Z6" s="4" t="inlineStr">
        <is>
          <t>Instruction</t>
        </is>
      </c>
      <c r="AA6" s="4" t="inlineStr">
        <is>
          <t>Establishment</t>
        </is>
      </c>
      <c r="AB6" s="4" t="inlineStr">
        <is>
          <t>Technology</t>
        </is>
      </c>
      <c r="AC6" s="4" t="inlineStr">
        <is>
          <t>Operating</t>
        </is>
      </c>
      <c r="AD6" s="4" t="inlineStr">
        <is>
          <t>Development</t>
        </is>
      </c>
      <c r="AE6" s="4" t="inlineStr">
        <is>
          <t>TOTAL COST</t>
        </is>
      </c>
      <c r="AF6" s="4" t="inlineStr">
        <is>
          <t>SURPLUS</t>
        </is>
      </c>
      <c r="AG6" s="4" t="inlineStr">
        <is>
          <t>Margin</t>
        </is>
      </c>
      <c r="AH6" s="4" t="inlineStr">
        <is>
          <t>Opening reserve</t>
        </is>
      </c>
      <c r="AI6" s="4" t="inlineStr">
        <is>
          <t>Reserve contribution</t>
        </is>
      </c>
      <c r="AJ6" s="4" t="inlineStr">
        <is>
          <t>Closing reserve</t>
        </is>
      </c>
      <c r="AK6" s="4" t="inlineStr">
        <is>
          <t>Reserve (months of cost)</t>
        </is>
      </c>
      <c r="AL6" s="4" t="inlineStr">
        <is>
          <t>Cumulative net revenue</t>
        </is>
      </c>
    </row>
    <row r="7">
      <c r="A7" s="8" t="n">
        <v>1</v>
      </c>
      <c r="B7" s="8" t="n">
        <v>2027</v>
      </c>
      <c r="C7" s="10" t="n">
        <v>180000</v>
      </c>
      <c r="D7" s="8" t="n">
        <v>3710</v>
      </c>
      <c r="E7" s="8" t="n">
        <v>1521</v>
      </c>
      <c r="F7" s="8" t="n">
        <v>791</v>
      </c>
      <c r="G7" s="8" t="n">
        <v>538</v>
      </c>
      <c r="H7" s="8" t="n">
        <v>436</v>
      </c>
      <c r="I7" s="8" t="n">
        <v>279</v>
      </c>
      <c r="J7" s="8" t="n">
        <v>274</v>
      </c>
      <c r="K7" s="8" t="n">
        <v>5</v>
      </c>
      <c r="L7" s="8" t="n">
        <v>5</v>
      </c>
      <c r="M7" s="14" t="n">
        <v>26.8</v>
      </c>
      <c r="N7" s="8" t="n">
        <v>136</v>
      </c>
      <c r="O7" s="8" t="n">
        <v>85</v>
      </c>
      <c r="P7" s="8" t="n">
        <v>51</v>
      </c>
      <c r="Q7" s="14" t="n">
        <v>366.1</v>
      </c>
      <c r="R7" s="14" t="n">
        <v>366.1</v>
      </c>
      <c r="S7" s="14" t="n">
        <v>0</v>
      </c>
      <c r="T7" s="7" t="n">
        <v>2065.31</v>
      </c>
      <c r="U7" s="10" t="n">
        <v>752016</v>
      </c>
      <c r="V7" s="10" t="n">
        <v>16544</v>
      </c>
      <c r="W7" s="10" t="n">
        <v>37601</v>
      </c>
      <c r="X7" s="15">
        <f>U7-V7-W7</f>
        <v/>
      </c>
      <c r="Y7" s="10" t="n">
        <v>180000</v>
      </c>
      <c r="Z7" s="10" t="n">
        <v>375100</v>
      </c>
      <c r="AA7" s="10" t="n">
        <v>388410</v>
      </c>
      <c r="AB7" s="10" t="n">
        <v>79564</v>
      </c>
      <c r="AC7" s="10" t="n">
        <v>121529</v>
      </c>
      <c r="AD7" s="10" t="n">
        <v>38383</v>
      </c>
      <c r="AE7" s="15">
        <f>SUM(Y7:AD7)</f>
        <v/>
      </c>
      <c r="AF7" s="15">
        <f>X7-AE7</f>
        <v/>
      </c>
      <c r="AG7" s="9">
        <f>IF(X7=0,0,AF7/X7)</f>
        <v/>
      </c>
      <c r="AH7" s="10" t="n">
        <v>0</v>
      </c>
      <c r="AI7" s="10" t="n">
        <v>-485115</v>
      </c>
      <c r="AJ7" s="10" t="n">
        <v>0</v>
      </c>
      <c r="AK7" s="14" t="n">
        <v>0</v>
      </c>
      <c r="AL7" s="15">
        <f>X7</f>
        <v/>
      </c>
    </row>
    <row r="8">
      <c r="A8" s="16" t="n">
        <v>2</v>
      </c>
      <c r="B8" s="16" t="n">
        <v>2028</v>
      </c>
      <c r="C8" s="17" t="n">
        <v>420000</v>
      </c>
      <c r="D8" s="16" t="n">
        <v>8101</v>
      </c>
      <c r="E8" s="16" t="n">
        <v>3321</v>
      </c>
      <c r="F8" s="16" t="n">
        <v>1727</v>
      </c>
      <c r="G8" s="16" t="n">
        <v>1174</v>
      </c>
      <c r="H8" s="16" t="n">
        <v>951</v>
      </c>
      <c r="I8" s="16" t="n">
        <v>609</v>
      </c>
      <c r="J8" s="16" t="n">
        <v>609</v>
      </c>
      <c r="K8" s="16" t="n">
        <v>0</v>
      </c>
      <c r="L8" s="16" t="n">
        <v>13</v>
      </c>
      <c r="M8" s="18" t="n">
        <v>26.7</v>
      </c>
      <c r="N8" s="16" t="n">
        <v>348</v>
      </c>
      <c r="O8" s="16" t="n">
        <v>226</v>
      </c>
      <c r="P8" s="16" t="n">
        <v>121</v>
      </c>
      <c r="Q8" s="18" t="n">
        <v>1097.6</v>
      </c>
      <c r="R8" s="18" t="n">
        <v>1097.6</v>
      </c>
      <c r="S8" s="18" t="n">
        <v>18.7</v>
      </c>
      <c r="T8" s="19" t="n">
        <v>2136.65</v>
      </c>
      <c r="U8" s="17" t="n">
        <v>2331936</v>
      </c>
      <c r="V8" s="17" t="n">
        <v>51303</v>
      </c>
      <c r="W8" s="17" t="n">
        <v>116597</v>
      </c>
      <c r="X8" s="20">
        <f>U8-V8-W8</f>
        <v/>
      </c>
      <c r="Y8" s="17" t="n">
        <v>420000</v>
      </c>
      <c r="Z8" s="17" t="n">
        <v>975260</v>
      </c>
      <c r="AA8" s="17" t="n">
        <v>640090</v>
      </c>
      <c r="AB8" s="17" t="n">
        <v>88252</v>
      </c>
      <c r="AC8" s="17" t="n">
        <v>127038</v>
      </c>
      <c r="AD8" s="17" t="n">
        <v>157022</v>
      </c>
      <c r="AE8" s="20">
        <f>SUM(Y8:AD8)</f>
        <v/>
      </c>
      <c r="AF8" s="20">
        <f>X8-AE8</f>
        <v/>
      </c>
      <c r="AG8" s="21">
        <f>IF(X8=0,0,AF8/X8)</f>
        <v/>
      </c>
      <c r="AH8" s="17" t="n">
        <v>0</v>
      </c>
      <c r="AI8" s="17" t="n">
        <v>-243626</v>
      </c>
      <c r="AJ8" s="17" t="n">
        <v>0</v>
      </c>
      <c r="AK8" s="18" t="n">
        <v>0</v>
      </c>
      <c r="AL8" s="20">
        <f>AL7+X8</f>
        <v/>
      </c>
    </row>
    <row r="9">
      <c r="A9" s="8" t="n">
        <v>3</v>
      </c>
      <c r="B9" s="8" t="n">
        <v>2029</v>
      </c>
      <c r="C9" s="10" t="n">
        <v>760000</v>
      </c>
      <c r="D9" s="8" t="n">
        <v>14447</v>
      </c>
      <c r="E9" s="8" t="n">
        <v>5923</v>
      </c>
      <c r="F9" s="8" t="n">
        <v>3080</v>
      </c>
      <c r="G9" s="8" t="n">
        <v>2094</v>
      </c>
      <c r="H9" s="8" t="n">
        <v>1696</v>
      </c>
      <c r="I9" s="8" t="n">
        <v>1086</v>
      </c>
      <c r="J9" s="8" t="n">
        <v>1086</v>
      </c>
      <c r="K9" s="8" t="n">
        <v>0</v>
      </c>
      <c r="L9" s="8" t="n">
        <v>24</v>
      </c>
      <c r="M9" s="14" t="n">
        <v>26.6</v>
      </c>
      <c r="N9" s="8" t="n">
        <v>639</v>
      </c>
      <c r="O9" s="8" t="n">
        <v>425</v>
      </c>
      <c r="P9" s="8" t="n">
        <v>214</v>
      </c>
      <c r="Q9" s="14" t="n">
        <v>2140.1</v>
      </c>
      <c r="R9" s="14" t="n">
        <v>2140.1</v>
      </c>
      <c r="S9" s="14" t="n">
        <v>82.2</v>
      </c>
      <c r="T9" s="7" t="n">
        <v>2172.63</v>
      </c>
      <c r="U9" s="10" t="n">
        <v>4638546</v>
      </c>
      <c r="V9" s="10" t="n">
        <v>102048</v>
      </c>
      <c r="W9" s="10" t="n">
        <v>231927</v>
      </c>
      <c r="X9" s="15">
        <f>U9-V9-W9</f>
        <v/>
      </c>
      <c r="Y9" s="10" t="n">
        <v>760000</v>
      </c>
      <c r="Z9" s="10" t="n">
        <v>1800480</v>
      </c>
      <c r="AA9" s="10" t="n">
        <v>745360</v>
      </c>
      <c r="AB9" s="10" t="n">
        <v>100198</v>
      </c>
      <c r="AC9" s="10" t="n">
        <v>134614</v>
      </c>
      <c r="AD9" s="10" t="n">
        <v>274751</v>
      </c>
      <c r="AE9" s="15">
        <f>SUM(Y9:AD9)</f>
        <v/>
      </c>
      <c r="AF9" s="15">
        <f>X9-AE9</f>
        <v/>
      </c>
      <c r="AG9" s="9">
        <f>IF(X9=0,0,AF9/X9)</f>
        <v/>
      </c>
      <c r="AH9" s="10" t="n">
        <v>0</v>
      </c>
      <c r="AI9" s="10" t="n">
        <v>293500</v>
      </c>
      <c r="AJ9" s="10" t="n">
        <v>293500</v>
      </c>
      <c r="AK9" s="14" t="n">
        <v>0.9</v>
      </c>
      <c r="AL9" s="15">
        <f>AL8+X9</f>
        <v/>
      </c>
    </row>
    <row r="10">
      <c r="A10" s="16" t="n">
        <v>4</v>
      </c>
      <c r="B10" s="16" t="n">
        <v>2030</v>
      </c>
      <c r="C10" s="17" t="n">
        <v>1150000</v>
      </c>
      <c r="D10" s="16" t="n">
        <v>22567</v>
      </c>
      <c r="E10" s="16" t="n">
        <v>9252</v>
      </c>
      <c r="F10" s="16" t="n">
        <v>4811</v>
      </c>
      <c r="G10" s="16" t="n">
        <v>3272</v>
      </c>
      <c r="H10" s="16" t="n">
        <v>2650</v>
      </c>
      <c r="I10" s="16" t="n">
        <v>1696</v>
      </c>
      <c r="J10" s="16" t="n">
        <v>1696</v>
      </c>
      <c r="K10" s="16" t="n">
        <v>0</v>
      </c>
      <c r="L10" s="16" t="n">
        <v>38</v>
      </c>
      <c r="M10" s="18" t="n">
        <v>26.6</v>
      </c>
      <c r="N10" s="16" t="n">
        <v>1021</v>
      </c>
      <c r="O10" s="16" t="n">
        <v>673</v>
      </c>
      <c r="P10" s="16" t="n">
        <v>348</v>
      </c>
      <c r="Q10" s="18" t="n">
        <v>3519</v>
      </c>
      <c r="R10" s="18" t="n">
        <v>3519</v>
      </c>
      <c r="S10" s="18" t="n">
        <v>162.3</v>
      </c>
      <c r="T10" s="19" t="n">
        <v>2154.68</v>
      </c>
      <c r="U10" s="17" t="n">
        <v>7619261</v>
      </c>
      <c r="V10" s="17" t="n">
        <v>167624</v>
      </c>
      <c r="W10" s="17" t="n">
        <v>380963</v>
      </c>
      <c r="X10" s="20">
        <f>U10-V10-W10</f>
        <v/>
      </c>
      <c r="Y10" s="17" t="n">
        <v>1150000</v>
      </c>
      <c r="Z10" s="17" t="n">
        <v>2850760</v>
      </c>
      <c r="AA10" s="17" t="n">
        <v>915970</v>
      </c>
      <c r="AB10" s="17" t="n">
        <v>115867</v>
      </c>
      <c r="AC10" s="17" t="n">
        <v>144550</v>
      </c>
      <c r="AD10" s="17" t="n">
        <v>426887</v>
      </c>
      <c r="AE10" s="20">
        <f>SUM(Y10:AD10)</f>
        <v/>
      </c>
      <c r="AF10" s="20">
        <f>X10-AE10</f>
        <v/>
      </c>
      <c r="AG10" s="21">
        <f>IF(X10=0,0,AF10/X10)</f>
        <v/>
      </c>
      <c r="AH10" s="17" t="n">
        <v>293500</v>
      </c>
      <c r="AI10" s="17" t="n">
        <v>879984</v>
      </c>
      <c r="AJ10" s="17" t="n">
        <v>1173484</v>
      </c>
      <c r="AK10" s="18" t="n">
        <v>2.5</v>
      </c>
      <c r="AL10" s="20">
        <f>AL9+X10</f>
        <v/>
      </c>
    </row>
    <row r="11">
      <c r="A11" s="8" t="n">
        <v>5</v>
      </c>
      <c r="B11" s="8" t="n">
        <v>2031</v>
      </c>
      <c r="C11" s="10" t="n">
        <v>1520000</v>
      </c>
      <c r="D11" s="8" t="n">
        <v>30517</v>
      </c>
      <c r="E11" s="8" t="n">
        <v>12512</v>
      </c>
      <c r="F11" s="8" t="n">
        <v>6506</v>
      </c>
      <c r="G11" s="8" t="n">
        <v>4424</v>
      </c>
      <c r="H11" s="8" t="n">
        <v>3584</v>
      </c>
      <c r="I11" s="8" t="n">
        <v>2294</v>
      </c>
      <c r="J11" s="8" t="n">
        <v>2294</v>
      </c>
      <c r="K11" s="8" t="n">
        <v>0</v>
      </c>
      <c r="L11" s="8" t="n">
        <v>52</v>
      </c>
      <c r="M11" s="14" t="n">
        <v>26.6</v>
      </c>
      <c r="N11" s="8" t="n">
        <v>1420</v>
      </c>
      <c r="O11" s="8" t="n">
        <v>926</v>
      </c>
      <c r="P11" s="8" t="n">
        <v>494</v>
      </c>
      <c r="Q11" s="14" t="n">
        <v>5049.3</v>
      </c>
      <c r="R11" s="14" t="n">
        <v>5049.3</v>
      </c>
      <c r="S11" s="14" t="n">
        <v>272.5</v>
      </c>
      <c r="T11" s="7" t="n">
        <v>2141.36</v>
      </c>
      <c r="U11" s="10" t="n">
        <v>10866011</v>
      </c>
      <c r="V11" s="10" t="n">
        <v>239052</v>
      </c>
      <c r="W11" s="10" t="n">
        <v>543301</v>
      </c>
      <c r="X11" s="15">
        <f>U11-V11-W11</f>
        <v/>
      </c>
      <c r="Y11" s="10" t="n">
        <v>1520000</v>
      </c>
      <c r="Z11" s="10" t="n">
        <v>3901040</v>
      </c>
      <c r="AA11" s="10" t="n">
        <v>1188220</v>
      </c>
      <c r="AB11" s="10" t="n">
        <v>132214</v>
      </c>
      <c r="AC11" s="10" t="n">
        <v>154916</v>
      </c>
      <c r="AD11" s="10" t="n">
        <v>592601</v>
      </c>
      <c r="AE11" s="15">
        <f>SUM(Y11:AD11)</f>
        <v/>
      </c>
      <c r="AF11" s="15">
        <f>X11-AE11</f>
        <v/>
      </c>
      <c r="AG11" s="9">
        <f>IF(X11=0,0,AF11/X11)</f>
        <v/>
      </c>
      <c r="AH11" s="10" t="n">
        <v>1173484</v>
      </c>
      <c r="AI11" s="10" t="n">
        <v>1556800</v>
      </c>
      <c r="AJ11" s="10" t="n">
        <v>2730284</v>
      </c>
      <c r="AK11" s="14" t="n">
        <v>4.4</v>
      </c>
      <c r="AL11" s="15">
        <f>AL10+X11</f>
        <v/>
      </c>
    </row>
    <row r="12">
      <c r="A12" s="16" t="n">
        <v>6</v>
      </c>
      <c r="B12" s="16" t="n">
        <v>2032</v>
      </c>
      <c r="C12" s="17" t="n">
        <v>1880000</v>
      </c>
      <c r="D12" s="16" t="n">
        <v>38262</v>
      </c>
      <c r="E12" s="16" t="n">
        <v>15687</v>
      </c>
      <c r="F12" s="16" t="n">
        <v>8157</v>
      </c>
      <c r="G12" s="16" t="n">
        <v>5547</v>
      </c>
      <c r="H12" s="16" t="n">
        <v>4493</v>
      </c>
      <c r="I12" s="16" t="n">
        <v>2876</v>
      </c>
      <c r="J12" s="16" t="n">
        <v>2876</v>
      </c>
      <c r="K12" s="16" t="n">
        <v>0</v>
      </c>
      <c r="L12" s="16" t="n">
        <v>66</v>
      </c>
      <c r="M12" s="18" t="n">
        <v>26.6</v>
      </c>
      <c r="N12" s="16" t="n">
        <v>1809</v>
      </c>
      <c r="O12" s="16" t="n">
        <v>1172</v>
      </c>
      <c r="P12" s="16" t="n">
        <v>637</v>
      </c>
      <c r="Q12" s="18" t="n">
        <v>6576</v>
      </c>
      <c r="R12" s="18" t="n">
        <v>6576</v>
      </c>
      <c r="S12" s="18" t="n">
        <v>400.6</v>
      </c>
      <c r="T12" s="19" t="n">
        <v>2132.78</v>
      </c>
      <c r="U12" s="17" t="n">
        <v>14078908</v>
      </c>
      <c r="V12" s="17" t="n">
        <v>309736</v>
      </c>
      <c r="W12" s="17" t="n">
        <v>703945</v>
      </c>
      <c r="X12" s="20">
        <f>U12-V12-W12</f>
        <v/>
      </c>
      <c r="Y12" s="17" t="n">
        <v>1880000</v>
      </c>
      <c r="Z12" s="17" t="n">
        <v>4951320</v>
      </c>
      <c r="AA12" s="17" t="n">
        <v>1358830</v>
      </c>
      <c r="AB12" s="17" t="n">
        <v>148159</v>
      </c>
      <c r="AC12" s="17" t="n">
        <v>165028</v>
      </c>
      <c r="AD12" s="17" t="n">
        <v>756587</v>
      </c>
      <c r="AE12" s="20">
        <f>SUM(Y12:AD12)</f>
        <v/>
      </c>
      <c r="AF12" s="20">
        <f>X12-AE12</f>
        <v/>
      </c>
      <c r="AG12" s="21">
        <f>IF(X12=0,0,AF12/X12)</f>
        <v/>
      </c>
      <c r="AH12" s="17" t="n">
        <v>2730284</v>
      </c>
      <c r="AI12" s="17" t="n">
        <v>2283181</v>
      </c>
      <c r="AJ12" s="17" t="n">
        <v>5013465</v>
      </c>
      <c r="AK12" s="18" t="n">
        <v>6.5</v>
      </c>
      <c r="AL12" s="20">
        <f>AL11+X12</f>
        <v/>
      </c>
    </row>
    <row r="13">
      <c r="A13" s="8" t="n">
        <v>7</v>
      </c>
      <c r="B13" s="8" t="n">
        <v>2033</v>
      </c>
      <c r="C13" s="10" t="n">
        <v>2180000</v>
      </c>
      <c r="D13" s="8" t="n">
        <v>44646</v>
      </c>
      <c r="E13" s="8" t="n">
        <v>18305</v>
      </c>
      <c r="F13" s="8" t="n">
        <v>9519</v>
      </c>
      <c r="G13" s="8" t="n">
        <v>6473</v>
      </c>
      <c r="H13" s="8" t="n">
        <v>5243</v>
      </c>
      <c r="I13" s="8" t="n">
        <v>3355</v>
      </c>
      <c r="J13" s="8" t="n">
        <v>3355</v>
      </c>
      <c r="K13" s="8" t="n">
        <v>0</v>
      </c>
      <c r="L13" s="8" t="n">
        <v>78</v>
      </c>
      <c r="M13" s="14" t="n">
        <v>26.6</v>
      </c>
      <c r="N13" s="8" t="n">
        <v>2145</v>
      </c>
      <c r="O13" s="8" t="n">
        <v>1385</v>
      </c>
      <c r="P13" s="8" t="n">
        <v>760</v>
      </c>
      <c r="Q13" s="14" t="n">
        <v>7946.7</v>
      </c>
      <c r="R13" s="14" t="n">
        <v>7946.7</v>
      </c>
      <c r="S13" s="14" t="n">
        <v>525.9</v>
      </c>
      <c r="T13" s="7" t="n">
        <v>2128.94</v>
      </c>
      <c r="U13" s="10" t="n">
        <v>16963452</v>
      </c>
      <c r="V13" s="10" t="n">
        <v>373196</v>
      </c>
      <c r="W13" s="10" t="n">
        <v>848173</v>
      </c>
      <c r="X13" s="15">
        <f>U13-V13-W13</f>
        <v/>
      </c>
      <c r="Y13" s="10" t="n">
        <v>2180000</v>
      </c>
      <c r="Z13" s="10" t="n">
        <v>5851560</v>
      </c>
      <c r="AA13" s="10" t="n">
        <v>1464100</v>
      </c>
      <c r="AB13" s="10" t="n">
        <v>161931</v>
      </c>
      <c r="AC13" s="10" t="n">
        <v>173761</v>
      </c>
      <c r="AD13" s="10" t="n">
        <v>903815</v>
      </c>
      <c r="AE13" s="15">
        <f>SUM(Y13:AD13)</f>
        <v/>
      </c>
      <c r="AF13" s="15">
        <f>X13-AE13</f>
        <v/>
      </c>
      <c r="AG13" s="9">
        <f>IF(X13=0,0,AF13/X13)</f>
        <v/>
      </c>
      <c r="AH13" s="10" t="n">
        <v>5013465</v>
      </c>
      <c r="AI13" s="10" t="n">
        <v>3004150</v>
      </c>
      <c r="AJ13" s="10" t="n">
        <v>8017615</v>
      </c>
      <c r="AK13" s="14" t="n">
        <v>9</v>
      </c>
      <c r="AL13" s="15">
        <f>AL12+X13</f>
        <v/>
      </c>
    </row>
    <row r="14">
      <c r="A14" s="16" t="n">
        <v>8</v>
      </c>
      <c r="B14" s="16" t="n">
        <v>2034</v>
      </c>
      <c r="C14" s="17" t="n">
        <v>2420000</v>
      </c>
      <c r="D14" s="16" t="n">
        <v>50149</v>
      </c>
      <c r="E14" s="16" t="n">
        <v>20561</v>
      </c>
      <c r="F14" s="16" t="n">
        <v>10692</v>
      </c>
      <c r="G14" s="16" t="n">
        <v>7270</v>
      </c>
      <c r="H14" s="16" t="n">
        <v>5889</v>
      </c>
      <c r="I14" s="16" t="n">
        <v>3769</v>
      </c>
      <c r="J14" s="16" t="n">
        <v>3769</v>
      </c>
      <c r="K14" s="16" t="n">
        <v>0</v>
      </c>
      <c r="L14" s="16" t="n">
        <v>88</v>
      </c>
      <c r="M14" s="18" t="n">
        <v>26.6</v>
      </c>
      <c r="N14" s="16" t="n">
        <v>2430</v>
      </c>
      <c r="O14" s="16" t="n">
        <v>1562</v>
      </c>
      <c r="P14" s="16" t="n">
        <v>869</v>
      </c>
      <c r="Q14" s="18" t="n">
        <v>9121</v>
      </c>
      <c r="R14" s="18" t="n">
        <v>9121</v>
      </c>
      <c r="S14" s="18" t="n">
        <v>641.7</v>
      </c>
      <c r="T14" s="19" t="n">
        <v>2120.27</v>
      </c>
      <c r="U14" s="17" t="n">
        <v>19407401</v>
      </c>
      <c r="V14" s="17" t="n">
        <v>426963</v>
      </c>
      <c r="W14" s="17" t="n">
        <v>970370</v>
      </c>
      <c r="X14" s="20">
        <f>U14-V14-W14</f>
        <v/>
      </c>
      <c r="Y14" s="17" t="n">
        <v>2420000</v>
      </c>
      <c r="Z14" s="17" t="n">
        <v>6601760</v>
      </c>
      <c r="AA14" s="17" t="n">
        <v>1640760</v>
      </c>
      <c r="AB14" s="17" t="n">
        <v>173647</v>
      </c>
      <c r="AC14" s="17" t="n">
        <v>181191</v>
      </c>
      <c r="AD14" s="17" t="n">
        <v>1028554</v>
      </c>
      <c r="AE14" s="20">
        <f>SUM(Y14:AD14)</f>
        <v/>
      </c>
      <c r="AF14" s="20">
        <f>X14-AE14</f>
        <v/>
      </c>
      <c r="AG14" s="21">
        <f>IF(X14=0,0,AF14/X14)</f>
        <v/>
      </c>
      <c r="AH14" s="17" t="n">
        <v>8017615</v>
      </c>
      <c r="AI14" s="17" t="n">
        <v>3578493</v>
      </c>
      <c r="AJ14" s="17" t="n">
        <v>11596108</v>
      </c>
      <c r="AK14" s="18" t="n">
        <v>11.6</v>
      </c>
      <c r="AL14" s="20">
        <f>AL13+X14</f>
        <v/>
      </c>
    </row>
    <row r="15">
      <c r="A15" s="8" t="n">
        <v>9</v>
      </c>
      <c r="B15" s="8" t="n">
        <v>2035</v>
      </c>
      <c r="C15" s="10" t="n">
        <v>2610000</v>
      </c>
      <c r="D15" s="8" t="n">
        <v>53787</v>
      </c>
      <c r="E15" s="8" t="n">
        <v>22053</v>
      </c>
      <c r="F15" s="8" t="n">
        <v>11467</v>
      </c>
      <c r="G15" s="8" t="n">
        <v>7798</v>
      </c>
      <c r="H15" s="8" t="n">
        <v>6316</v>
      </c>
      <c r="I15" s="8" t="n">
        <v>4042</v>
      </c>
      <c r="J15" s="8" t="n">
        <v>4042</v>
      </c>
      <c r="K15" s="8" t="n">
        <v>0</v>
      </c>
      <c r="L15" s="8" t="n">
        <v>96</v>
      </c>
      <c r="M15" s="14" t="n">
        <v>26.6</v>
      </c>
      <c r="N15" s="8" t="n">
        <v>2636</v>
      </c>
      <c r="O15" s="8" t="n">
        <v>1695</v>
      </c>
      <c r="P15" s="8" t="n">
        <v>940</v>
      </c>
      <c r="Q15" s="14" t="n">
        <v>10016.7</v>
      </c>
      <c r="R15" s="14" t="n">
        <v>10016.7</v>
      </c>
      <c r="S15" s="14" t="n">
        <v>738.5</v>
      </c>
      <c r="T15" s="7" t="n">
        <v>2125.15</v>
      </c>
      <c r="U15" s="10" t="n">
        <v>21303495</v>
      </c>
      <c r="V15" s="10" t="n">
        <v>468677</v>
      </c>
      <c r="W15" s="10" t="n">
        <v>1065175</v>
      </c>
      <c r="X15" s="15">
        <f>U15-V15-W15</f>
        <v/>
      </c>
      <c r="Y15" s="10" t="n">
        <v>2610000</v>
      </c>
      <c r="Z15" s="10" t="n">
        <v>7201920</v>
      </c>
      <c r="AA15" s="10" t="n">
        <v>1746030</v>
      </c>
      <c r="AB15" s="10" t="n">
        <v>182068</v>
      </c>
      <c r="AC15" s="10" t="n">
        <v>186531</v>
      </c>
      <c r="AD15" s="10" t="n">
        <v>1125330</v>
      </c>
      <c r="AE15" s="15">
        <f>SUM(Y15:AD15)</f>
        <v/>
      </c>
      <c r="AF15" s="15">
        <f>X15-AE15</f>
        <v/>
      </c>
      <c r="AG15" s="9">
        <f>IF(X15=0,0,AF15/X15)</f>
        <v/>
      </c>
      <c r="AH15" s="10" t="n">
        <v>11596108</v>
      </c>
      <c r="AI15" s="10" t="n">
        <v>4030658</v>
      </c>
      <c r="AJ15" s="10" t="n">
        <v>15626766</v>
      </c>
      <c r="AK15" s="14" t="n">
        <v>14.4</v>
      </c>
      <c r="AL15" s="15">
        <f>AL14+X15</f>
        <v/>
      </c>
    </row>
    <row r="16">
      <c r="A16" s="16" t="n">
        <v>10</v>
      </c>
      <c r="B16" s="16" t="n">
        <v>2036</v>
      </c>
      <c r="C16" s="17" t="n">
        <v>2760000</v>
      </c>
      <c r="D16" s="16" t="n">
        <v>56878</v>
      </c>
      <c r="E16" s="16" t="n">
        <v>23320</v>
      </c>
      <c r="F16" s="16" t="n">
        <v>12126</v>
      </c>
      <c r="G16" s="16" t="n">
        <v>8246</v>
      </c>
      <c r="H16" s="16" t="n">
        <v>6679</v>
      </c>
      <c r="I16" s="16" t="n">
        <v>4275</v>
      </c>
      <c r="J16" s="16" t="n">
        <v>4275</v>
      </c>
      <c r="K16" s="16" t="n">
        <v>0</v>
      </c>
      <c r="L16" s="16" t="n">
        <v>102</v>
      </c>
      <c r="M16" s="18" t="n">
        <v>26.6</v>
      </c>
      <c r="N16" s="16" t="n">
        <v>2797</v>
      </c>
      <c r="O16" s="16" t="n">
        <v>1801</v>
      </c>
      <c r="P16" s="16" t="n">
        <v>997</v>
      </c>
      <c r="Q16" s="18" t="n">
        <v>10699.8</v>
      </c>
      <c r="R16" s="18" t="n">
        <v>10699.8</v>
      </c>
      <c r="S16" s="18" t="n">
        <v>816</v>
      </c>
      <c r="T16" s="19" t="n">
        <v>2125.15</v>
      </c>
      <c r="U16" s="17" t="n">
        <v>22769005</v>
      </c>
      <c r="V16" s="17" t="n">
        <v>500918</v>
      </c>
      <c r="W16" s="17" t="n">
        <v>1138450</v>
      </c>
      <c r="X16" s="20">
        <f>U16-V16-W16</f>
        <v/>
      </c>
      <c r="Y16" s="17" t="n">
        <v>2760000</v>
      </c>
      <c r="Z16" s="17" t="n">
        <v>7652040</v>
      </c>
      <c r="AA16" s="17" t="n">
        <v>1746030</v>
      </c>
      <c r="AB16" s="17" t="n">
        <v>188677</v>
      </c>
      <c r="AC16" s="17" t="n">
        <v>190722</v>
      </c>
      <c r="AD16" s="17" t="n">
        <v>1200130</v>
      </c>
      <c r="AE16" s="20">
        <f>SUM(Y16:AD16)</f>
        <v/>
      </c>
      <c r="AF16" s="20">
        <f>X16-AE16</f>
        <v/>
      </c>
      <c r="AG16" s="21">
        <f>IF(X16=0,0,AF16/X16)</f>
        <v/>
      </c>
      <c r="AH16" s="17" t="n">
        <v>15626766</v>
      </c>
      <c r="AI16" s="17" t="n">
        <v>4435222</v>
      </c>
      <c r="AJ16" s="17" t="n">
        <v>20061988</v>
      </c>
      <c r="AK16" s="18" t="n">
        <v>17.5</v>
      </c>
      <c r="AL16" s="20">
        <f>AL15+X16</f>
        <v/>
      </c>
    </row>
    <row r="17">
      <c r="B17" s="5" t="inlineStr">
        <is>
          <t>TEN-YEAR TOTAL</t>
        </is>
      </c>
      <c r="C17" s="15">
        <f>SUM(C7:C16)</f>
        <v/>
      </c>
      <c r="Q17" s="22">
        <f>SUM(Q7:Q16)</f>
        <v/>
      </c>
      <c r="R17" s="22">
        <f>SUM(R7:R16)</f>
        <v/>
      </c>
      <c r="S17" s="22">
        <f>SUM(S7:S16)</f>
        <v/>
      </c>
      <c r="U17" s="15">
        <f>SUM(U7:U16)</f>
        <v/>
      </c>
      <c r="V17" s="15">
        <f>SUM(V7:V16)</f>
        <v/>
      </c>
      <c r="W17" s="15">
        <f>SUM(W7:W16)</f>
        <v/>
      </c>
      <c r="X17" s="15">
        <f>SUM(X7:X16)</f>
        <v/>
      </c>
      <c r="Y17" s="15">
        <f>SUM(Y7:Y16)</f>
        <v/>
      </c>
      <c r="Z17" s="15">
        <f>SUM(Z7:Z16)</f>
        <v/>
      </c>
      <c r="AA17" s="15">
        <f>SUM(AA7:AA16)</f>
        <v/>
      </c>
      <c r="AB17" s="15">
        <f>SUM(AB7:AB16)</f>
        <v/>
      </c>
      <c r="AC17" s="15">
        <f>SUM(AC7:AC16)</f>
        <v/>
      </c>
      <c r="AD17" s="15">
        <f>SUM(AD7:AD16)</f>
        <v/>
      </c>
      <c r="AE17" s="15">
        <f>SUM(AE7:AE16)</f>
        <v/>
      </c>
      <c r="AF17" s="15">
        <f>SUM(AF7:AF16)</f>
        <v/>
      </c>
    </row>
    <row r="19">
      <c r="A19" s="3" t="inlineStr">
        <is>
          <t>Every figure computed by scripts/publication/masterplan.mjs from data/tuition.json, data/commercial.json and data/masterplan.json. Planning estimates, not historical results.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WorldWide English College — London Campus</t>
        </is>
      </c>
    </row>
    <row r="2">
      <c r="A2" s="2" t="inlineStr">
        <is>
          <t>07 Scenarios</t>
        </is>
      </c>
    </row>
    <row r="3">
      <c r="A3" s="3" t="inlineStr">
        <is>
          <t>Three futures differing in structure, not in optimism.</t>
        </is>
      </c>
    </row>
    <row r="6" ht="30" customHeight="1">
      <c r="A6" s="4" t="inlineStr">
        <is>
          <t>Year</t>
        </is>
      </c>
      <c r="B6" s="4" t="inlineStr">
        <is>
          <t>Calendar</t>
        </is>
      </c>
      <c r="C6" s="4" t="inlineStr">
        <is>
          <t>Conservative</t>
        </is>
      </c>
      <c r="D6" s="4" t="inlineStr">
        <is>
          <t>Expected</t>
        </is>
      </c>
      <c r="E6" s="4" t="inlineStr">
        <is>
          <t>Growth</t>
        </is>
      </c>
      <c r="F6" s="4" t="inlineStr">
        <is>
          <t>Growth vs Conservative</t>
        </is>
      </c>
    </row>
    <row r="7">
      <c r="A7" s="6" t="n">
        <v>1</v>
      </c>
      <c r="B7" s="6" t="n">
        <v>2027</v>
      </c>
      <c r="C7" s="10" t="n">
        <v>421103</v>
      </c>
      <c r="D7" s="10" t="n">
        <v>578624</v>
      </c>
      <c r="E7" s="10" t="n">
        <v>697871</v>
      </c>
      <c r="F7" s="10">
        <f>E7-C7</f>
        <v/>
      </c>
    </row>
    <row r="8">
      <c r="A8" s="6" t="n">
        <v>2</v>
      </c>
      <c r="B8" s="6" t="n">
        <v>2028</v>
      </c>
      <c r="C8" s="10" t="n">
        <v>1188743</v>
      </c>
      <c r="D8" s="10" t="n">
        <v>1696671</v>
      </c>
      <c r="E8" s="10" t="n">
        <v>2164036</v>
      </c>
      <c r="F8" s="10">
        <f>E8-C8</f>
        <v/>
      </c>
    </row>
    <row r="9">
      <c r="A9" s="6" t="n">
        <v>3</v>
      </c>
      <c r="B9" s="6" t="n">
        <v>2029</v>
      </c>
      <c r="C9" s="10" t="n">
        <v>2306028</v>
      </c>
      <c r="D9" s="10" t="n">
        <v>3331940</v>
      </c>
      <c r="E9" s="10" t="n">
        <v>4304571</v>
      </c>
      <c r="F9" s="10">
        <f>E9-C9</f>
        <v/>
      </c>
    </row>
    <row r="10">
      <c r="A10" s="6" t="n">
        <v>4</v>
      </c>
      <c r="B10" s="6" t="n">
        <v>2030</v>
      </c>
      <c r="C10" s="10" t="n">
        <v>3726488</v>
      </c>
      <c r="D10" s="10" t="n">
        <v>5436216</v>
      </c>
      <c r="E10" s="10" t="n">
        <v>7070674</v>
      </c>
      <c r="F10" s="10">
        <f>E10-C10</f>
        <v/>
      </c>
    </row>
    <row r="11">
      <c r="A11" s="6" t="n">
        <v>5</v>
      </c>
      <c r="B11" s="6" t="n">
        <v>2031</v>
      </c>
      <c r="C11" s="10" t="n">
        <v>5224369</v>
      </c>
      <c r="D11" s="10" t="n">
        <v>7695577</v>
      </c>
      <c r="E11" s="10" t="n">
        <v>10083658</v>
      </c>
      <c r="F11" s="10">
        <f>E11-C11</f>
        <v/>
      </c>
    </row>
    <row r="12">
      <c r="A12" s="6" t="n">
        <v>6</v>
      </c>
      <c r="B12" s="6" t="n">
        <v>2032</v>
      </c>
      <c r="C12" s="10" t="n">
        <v>6692863</v>
      </c>
      <c r="D12" s="10" t="n">
        <v>9921326</v>
      </c>
      <c r="E12" s="10" t="n">
        <v>13065227</v>
      </c>
      <c r="F12" s="10">
        <f>E12-C12</f>
        <v/>
      </c>
    </row>
    <row r="13">
      <c r="A13" s="6" t="n">
        <v>7</v>
      </c>
      <c r="B13" s="6" t="n">
        <v>2033</v>
      </c>
      <c r="C13" s="10" t="n">
        <v>7991267</v>
      </c>
      <c r="D13" s="10" t="n">
        <v>11907058</v>
      </c>
      <c r="E13" s="10" t="n">
        <v>15742083</v>
      </c>
      <c r="F13" s="10">
        <f>E13-C13</f>
        <v/>
      </c>
    </row>
    <row r="14">
      <c r="A14" s="6" t="n">
        <v>8</v>
      </c>
      <c r="B14" s="6" t="n">
        <v>2034</v>
      </c>
      <c r="C14" s="10" t="n">
        <v>9081508</v>
      </c>
      <c r="D14" s="10" t="n">
        <v>13582521</v>
      </c>
      <c r="E14" s="10" t="n">
        <v>18010068</v>
      </c>
      <c r="F14" s="10">
        <f>E14-C14</f>
        <v/>
      </c>
    </row>
    <row r="15">
      <c r="A15" s="6" t="n">
        <v>9</v>
      </c>
      <c r="B15" s="6" t="n">
        <v>2035</v>
      </c>
      <c r="C15" s="10" t="n">
        <v>9919448</v>
      </c>
      <c r="D15" s="10" t="n">
        <v>14877742</v>
      </c>
      <c r="E15" s="10" t="n">
        <v>19769643</v>
      </c>
      <c r="F15" s="10">
        <f>E15-C15</f>
        <v/>
      </c>
    </row>
    <row r="16">
      <c r="A16" s="6" t="n">
        <v>10</v>
      </c>
      <c r="B16" s="6" t="n">
        <v>2036</v>
      </c>
      <c r="C16" s="10" t="n">
        <v>10575340</v>
      </c>
      <c r="D16" s="10" t="n">
        <v>15884870</v>
      </c>
      <c r="E16" s="10" t="n">
        <v>21129637</v>
      </c>
      <c r="F16" s="10">
        <f>E16-C16</f>
        <v/>
      </c>
    </row>
    <row r="17">
      <c r="B17" s="5" t="inlineStr">
        <is>
          <t>TEN-YEAR</t>
        </is>
      </c>
      <c r="C17" s="15">
        <f>SUM(C7:C16)</f>
        <v/>
      </c>
      <c r="D17" s="15">
        <f>SUM(D7:D16)</f>
        <v/>
      </c>
      <c r="E17" s="15">
        <f>SUM(E7:E16)</f>
        <v/>
      </c>
      <c r="F17" s="15">
        <f>SUM(F7:F16)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WorldWide English College — London Campus</t>
        </is>
      </c>
    </row>
    <row r="2">
      <c r="A2" s="2" t="inlineStr">
        <is>
          <t>08 Funnel</t>
        </is>
      </c>
    </row>
    <row r="3">
      <c r="A3" s="3" t="inlineStr">
        <is>
          <t>Every stage between a stranger and a matriculated learner, expected case.</t>
        </is>
      </c>
    </row>
    <row r="6" ht="30" customHeight="1">
      <c r="A6" s="4" t="inlineStr">
        <is>
          <t>Stage</t>
        </is>
      </c>
      <c r="B6" s="4" t="inlineStr">
        <is>
          <t>Rate</t>
        </is>
      </c>
      <c r="C6" s="4" t="inlineStr">
        <is>
          <t>Y1</t>
        </is>
      </c>
      <c r="D6" s="4" t="inlineStr">
        <is>
          <t>Y2</t>
        </is>
      </c>
      <c r="E6" s="4" t="inlineStr">
        <is>
          <t>Y3</t>
        </is>
      </c>
      <c r="F6" s="4" t="inlineStr">
        <is>
          <t>Y4</t>
        </is>
      </c>
      <c r="G6" s="4" t="inlineStr">
        <is>
          <t>Y5</t>
        </is>
      </c>
      <c r="H6" s="4" t="inlineStr">
        <is>
          <t>Y6</t>
        </is>
      </c>
      <c r="I6" s="4" t="inlineStr">
        <is>
          <t>Y7</t>
        </is>
      </c>
      <c r="J6" s="4" t="inlineStr">
        <is>
          <t>Y8</t>
        </is>
      </c>
      <c r="K6" s="4" t="inlineStr">
        <is>
          <t>Y9</t>
        </is>
      </c>
      <c r="L6" s="4" t="inlineStr">
        <is>
          <t>Y10</t>
        </is>
      </c>
    </row>
    <row r="7">
      <c r="A7" s="6" t="inlineStr">
        <is>
          <t>Enquiries</t>
        </is>
      </c>
      <c r="C7" s="8" t="n">
        <v>3521</v>
      </c>
      <c r="D7" s="8" t="n">
        <v>7688</v>
      </c>
      <c r="E7" s="8" t="n">
        <v>13709</v>
      </c>
      <c r="F7" s="8" t="n">
        <v>21415</v>
      </c>
      <c r="G7" s="8" t="n">
        <v>28960</v>
      </c>
      <c r="H7" s="8" t="n">
        <v>36309</v>
      </c>
      <c r="I7" s="8" t="n">
        <v>42368</v>
      </c>
      <c r="J7" s="8" t="n">
        <v>47589</v>
      </c>
      <c r="K7" s="8" t="n">
        <v>51042</v>
      </c>
      <c r="L7" s="8" t="n">
        <v>53975</v>
      </c>
    </row>
    <row r="8">
      <c r="A8" s="6" t="inlineStr">
        <is>
          <t>Qualified</t>
        </is>
      </c>
      <c r="B8" s="9" t="n">
        <v>0.41</v>
      </c>
      <c r="C8" s="8" t="n">
        <v>1444</v>
      </c>
      <c r="D8" s="8" t="n">
        <v>3152</v>
      </c>
      <c r="E8" s="8" t="n">
        <v>5621</v>
      </c>
      <c r="F8" s="8" t="n">
        <v>8780</v>
      </c>
      <c r="G8" s="8" t="n">
        <v>11874</v>
      </c>
      <c r="H8" s="8" t="n">
        <v>14887</v>
      </c>
      <c r="I8" s="8" t="n">
        <v>17371</v>
      </c>
      <c r="J8" s="8" t="n">
        <v>19512</v>
      </c>
      <c r="K8" s="8" t="n">
        <v>20927</v>
      </c>
      <c r="L8" s="8" t="n">
        <v>22130</v>
      </c>
    </row>
    <row r="9">
      <c r="A9" s="6" t="inlineStr">
        <is>
          <t>Consultations</t>
        </is>
      </c>
      <c r="B9" s="9" t="n">
        <v>0.52</v>
      </c>
      <c r="C9" s="8" t="n">
        <v>751</v>
      </c>
      <c r="D9" s="8" t="n">
        <v>1639</v>
      </c>
      <c r="E9" s="8" t="n">
        <v>2923</v>
      </c>
      <c r="F9" s="8" t="n">
        <v>4566</v>
      </c>
      <c r="G9" s="8" t="n">
        <v>6174</v>
      </c>
      <c r="H9" s="8" t="n">
        <v>7741</v>
      </c>
      <c r="I9" s="8" t="n">
        <v>9033</v>
      </c>
      <c r="J9" s="8" t="n">
        <v>10146</v>
      </c>
      <c r="K9" s="8" t="n">
        <v>10882</v>
      </c>
      <c r="L9" s="8" t="n">
        <v>11507</v>
      </c>
    </row>
    <row r="10">
      <c r="A10" s="6" t="inlineStr">
        <is>
          <t>Applications</t>
        </is>
      </c>
      <c r="B10" s="9" t="n">
        <v>0.68</v>
      </c>
      <c r="C10" s="8" t="n">
        <v>510</v>
      </c>
      <c r="D10" s="8" t="n">
        <v>1115</v>
      </c>
      <c r="E10" s="8" t="n">
        <v>1988</v>
      </c>
      <c r="F10" s="8" t="n">
        <v>3105</v>
      </c>
      <c r="G10" s="8" t="n">
        <v>4198</v>
      </c>
      <c r="H10" s="8" t="n">
        <v>5264</v>
      </c>
      <c r="I10" s="8" t="n">
        <v>6142</v>
      </c>
      <c r="J10" s="8" t="n">
        <v>6899</v>
      </c>
      <c r="K10" s="8" t="n">
        <v>7400</v>
      </c>
      <c r="L10" s="8" t="n">
        <v>7825</v>
      </c>
    </row>
    <row r="11">
      <c r="A11" s="6" t="inlineStr">
        <is>
          <t>Offers</t>
        </is>
      </c>
      <c r="B11" s="9" t="n">
        <v>0.8100000000000001</v>
      </c>
      <c r="C11" s="8" t="n">
        <v>413</v>
      </c>
      <c r="D11" s="8" t="n">
        <v>903</v>
      </c>
      <c r="E11" s="8" t="n">
        <v>1610</v>
      </c>
      <c r="F11" s="8" t="n">
        <v>2515</v>
      </c>
      <c r="G11" s="8" t="n">
        <v>3401</v>
      </c>
      <c r="H11" s="8" t="n">
        <v>4264</v>
      </c>
      <c r="I11" s="8" t="n">
        <v>4975</v>
      </c>
      <c r="J11" s="8" t="n">
        <v>5588</v>
      </c>
      <c r="K11" s="8" t="n">
        <v>5994</v>
      </c>
      <c r="L11" s="8" t="n">
        <v>6338</v>
      </c>
    </row>
    <row r="12">
      <c r="A12" s="5" t="inlineStr">
        <is>
          <t>Paid enrolments</t>
        </is>
      </c>
      <c r="B12" s="9" t="n">
        <v>0.58</v>
      </c>
      <c r="C12" s="8" t="n">
        <v>240</v>
      </c>
      <c r="D12" s="8" t="n">
        <v>524</v>
      </c>
      <c r="E12" s="8" t="n">
        <v>934</v>
      </c>
      <c r="F12" s="8" t="n">
        <v>1459</v>
      </c>
      <c r="G12" s="8" t="n">
        <v>1972</v>
      </c>
      <c r="H12" s="8" t="n">
        <v>2473</v>
      </c>
      <c r="I12" s="8" t="n">
        <v>2886</v>
      </c>
      <c r="J12" s="8" t="n">
        <v>3241</v>
      </c>
      <c r="K12" s="8" t="n">
        <v>3476</v>
      </c>
      <c r="L12" s="8" t="n">
        <v>3676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8" customWidth="1" min="4" max="4"/>
    <col width="14" customWidth="1" min="5" max="5"/>
    <col width="18" customWidth="1" min="6" max="6"/>
    <col width="20" customWidth="1" min="7" max="7"/>
  </cols>
  <sheetData>
    <row r="1">
      <c r="A1" s="1" t="inlineStr">
        <is>
          <t>WorldWide English College — London Campus</t>
        </is>
      </c>
    </row>
    <row r="2">
      <c r="A2" s="2" t="inlineStr">
        <is>
          <t>09 Markets</t>
        </is>
      </c>
    </row>
    <row r="3">
      <c r="A3" s="3" t="inlineStr">
        <is>
          <t>Four markets, entered in sequence. Spend, cost of acquisition and learners won.</t>
        </is>
      </c>
    </row>
    <row r="6" ht="30" customHeight="1">
      <c r="A6" s="4" t="inlineStr">
        <is>
          <t>Year</t>
        </is>
      </c>
      <c r="B6" s="4" t="inlineStr">
        <is>
          <t>Market</t>
        </is>
      </c>
      <c r="C6" s="4" t="inlineStr">
        <is>
          <t>Spend</t>
        </is>
      </c>
      <c r="D6" s="4" t="inlineStr">
        <is>
          <t>Cost per learner</t>
        </is>
      </c>
      <c r="E6" s="4" t="inlineStr">
        <is>
          <t>Enquiries</t>
        </is>
      </c>
      <c r="F6" s="4" t="inlineStr">
        <is>
          <t>Paid enrolments</t>
        </is>
      </c>
      <c r="G6" s="4" t="inlineStr">
        <is>
          <t>Weighted price / level</t>
        </is>
      </c>
    </row>
    <row r="7">
      <c r="A7" s="6" t="n">
        <v>1</v>
      </c>
      <c r="B7" s="6" t="inlineStr">
        <is>
          <t>Saudi Arabia and the Gulf</t>
        </is>
      </c>
      <c r="C7" s="10" t="n">
        <v>111600</v>
      </c>
      <c r="D7" s="10" t="n">
        <v>1450</v>
      </c>
      <c r="E7" s="8" t="n">
        <v>1130</v>
      </c>
      <c r="F7" s="14" t="n">
        <v>77</v>
      </c>
      <c r="G7" s="7" t="n">
        <v>2701</v>
      </c>
    </row>
    <row r="8">
      <c r="A8" s="6" t="n">
        <v>1</v>
      </c>
      <c r="B8" s="6" t="inlineStr">
        <is>
          <t>Nigeria and West Africa</t>
        </is>
      </c>
      <c r="C8" s="10" t="n">
        <v>68400</v>
      </c>
      <c r="D8" s="10" t="n">
        <v>420</v>
      </c>
      <c r="E8" s="8" t="n">
        <v>2391</v>
      </c>
      <c r="F8" s="14" t="n">
        <v>162.9</v>
      </c>
      <c r="G8" s="7" t="n">
        <v>1640</v>
      </c>
    </row>
    <row r="9">
      <c r="A9" s="6" t="n">
        <v>2</v>
      </c>
      <c r="B9" s="6" t="inlineStr">
        <is>
          <t>Saudi Arabia and the Gulf</t>
        </is>
      </c>
      <c r="C9" s="10" t="n">
        <v>231000</v>
      </c>
      <c r="D9" s="10" t="n">
        <v>1450</v>
      </c>
      <c r="E9" s="8" t="n">
        <v>2339</v>
      </c>
      <c r="F9" s="14" t="n">
        <v>159.3</v>
      </c>
      <c r="G9" s="7" t="n">
        <v>2701</v>
      </c>
    </row>
    <row r="10">
      <c r="A10" s="6" t="n">
        <v>2</v>
      </c>
      <c r="B10" s="6" t="inlineStr">
        <is>
          <t>Nigeria and West Africa</t>
        </is>
      </c>
      <c r="C10" s="10" t="n">
        <v>126000</v>
      </c>
      <c r="D10" s="10" t="n">
        <v>420</v>
      </c>
      <c r="E10" s="8" t="n">
        <v>4405</v>
      </c>
      <c r="F10" s="14" t="n">
        <v>300</v>
      </c>
      <c r="G10" s="7" t="n">
        <v>1640</v>
      </c>
    </row>
    <row r="11">
      <c r="A11" s="6" t="n">
        <v>2</v>
      </c>
      <c r="B11" s="6" t="inlineStr">
        <is>
          <t>United Kingdom and Europe</t>
        </is>
      </c>
      <c r="C11" s="10" t="n">
        <v>63000</v>
      </c>
      <c r="D11" s="10" t="n">
        <v>980</v>
      </c>
      <c r="E11" s="8" t="n">
        <v>944</v>
      </c>
      <c r="F11" s="14" t="n">
        <v>64.3</v>
      </c>
      <c r="G11" s="7" t="n">
        <v>2442.34</v>
      </c>
    </row>
    <row r="12">
      <c r="A12" s="6" t="n">
        <v>3</v>
      </c>
      <c r="B12" s="6" t="inlineStr">
        <is>
          <t>Saudi Arabia and the Gulf</t>
        </is>
      </c>
      <c r="C12" s="10" t="n">
        <v>334400</v>
      </c>
      <c r="D12" s="10" t="n">
        <v>1450</v>
      </c>
      <c r="E12" s="8" t="n">
        <v>3386</v>
      </c>
      <c r="F12" s="14" t="n">
        <v>230.6</v>
      </c>
      <c r="G12" s="7" t="n">
        <v>2701</v>
      </c>
    </row>
    <row r="13">
      <c r="A13" s="6" t="n">
        <v>3</v>
      </c>
      <c r="B13" s="6" t="inlineStr">
        <is>
          <t>Nigeria and West Africa</t>
        </is>
      </c>
      <c r="C13" s="10" t="n">
        <v>197600</v>
      </c>
      <c r="D13" s="10" t="n">
        <v>420</v>
      </c>
      <c r="E13" s="8" t="n">
        <v>6908</v>
      </c>
      <c r="F13" s="14" t="n">
        <v>470.5</v>
      </c>
      <c r="G13" s="7" t="n">
        <v>1640</v>
      </c>
    </row>
    <row r="14">
      <c r="A14" s="6" t="n">
        <v>3</v>
      </c>
      <c r="B14" s="6" t="inlineStr">
        <is>
          <t>United Kingdom and Europe</t>
        </is>
      </c>
      <c r="C14" s="10" t="n">
        <v>228000</v>
      </c>
      <c r="D14" s="10" t="n">
        <v>980</v>
      </c>
      <c r="E14" s="8" t="n">
        <v>3416</v>
      </c>
      <c r="F14" s="14" t="n">
        <v>232.7</v>
      </c>
      <c r="G14" s="7" t="n">
        <v>2442.34</v>
      </c>
    </row>
    <row r="15">
      <c r="A15" s="6" t="n">
        <v>4</v>
      </c>
      <c r="B15" s="6" t="inlineStr">
        <is>
          <t>Saudi Arabia and the Gulf</t>
        </is>
      </c>
      <c r="C15" s="10" t="n">
        <v>437000</v>
      </c>
      <c r="D15" s="10" t="n">
        <v>1450</v>
      </c>
      <c r="E15" s="8" t="n">
        <v>4425</v>
      </c>
      <c r="F15" s="14" t="n">
        <v>301.4</v>
      </c>
      <c r="G15" s="7" t="n">
        <v>2701</v>
      </c>
    </row>
    <row r="16">
      <c r="A16" s="6" t="n">
        <v>4</v>
      </c>
      <c r="B16" s="6" t="inlineStr">
        <is>
          <t>Nigeria and West Africa</t>
        </is>
      </c>
      <c r="C16" s="10" t="n">
        <v>253000</v>
      </c>
      <c r="D16" s="10" t="n">
        <v>420</v>
      </c>
      <c r="E16" s="8" t="n">
        <v>8844</v>
      </c>
      <c r="F16" s="14" t="n">
        <v>602.4</v>
      </c>
      <c r="G16" s="7" t="n">
        <v>1640</v>
      </c>
    </row>
    <row r="17">
      <c r="A17" s="6" t="n">
        <v>4</v>
      </c>
      <c r="B17" s="6" t="inlineStr">
        <is>
          <t>United Kingdom and Europe</t>
        </is>
      </c>
      <c r="C17" s="10" t="n">
        <v>322000</v>
      </c>
      <c r="D17" s="10" t="n">
        <v>980</v>
      </c>
      <c r="E17" s="8" t="n">
        <v>4824</v>
      </c>
      <c r="F17" s="14" t="n">
        <v>328.6</v>
      </c>
      <c r="G17" s="7" t="n">
        <v>2442.34</v>
      </c>
    </row>
    <row r="18">
      <c r="A18" s="6" t="n">
        <v>4</v>
      </c>
      <c r="B18" s="6" t="inlineStr">
        <is>
          <t>Asia and the rest of the world</t>
        </is>
      </c>
      <c r="C18" s="10" t="n">
        <v>138000</v>
      </c>
      <c r="D18" s="10" t="n">
        <v>610</v>
      </c>
      <c r="E18" s="8" t="n">
        <v>3322</v>
      </c>
      <c r="F18" s="14" t="n">
        <v>226.2</v>
      </c>
      <c r="G18" s="7" t="n">
        <v>1903.34</v>
      </c>
    </row>
    <row r="19">
      <c r="A19" s="6" t="n">
        <v>5</v>
      </c>
      <c r="B19" s="6" t="inlineStr">
        <is>
          <t>Saudi Arabia and the Gulf</t>
        </is>
      </c>
      <c r="C19" s="10" t="n">
        <v>516800</v>
      </c>
      <c r="D19" s="10" t="n">
        <v>1450</v>
      </c>
      <c r="E19" s="8" t="n">
        <v>5233</v>
      </c>
      <c r="F19" s="14" t="n">
        <v>356.4</v>
      </c>
      <c r="G19" s="7" t="n">
        <v>2701</v>
      </c>
    </row>
    <row r="20">
      <c r="A20" s="6" t="n">
        <v>5</v>
      </c>
      <c r="B20" s="6" t="inlineStr">
        <is>
          <t>Nigeria and West Africa</t>
        </is>
      </c>
      <c r="C20" s="10" t="n">
        <v>304000</v>
      </c>
      <c r="D20" s="10" t="n">
        <v>420</v>
      </c>
      <c r="E20" s="8" t="n">
        <v>10627</v>
      </c>
      <c r="F20" s="14" t="n">
        <v>723.8</v>
      </c>
      <c r="G20" s="7" t="n">
        <v>1640</v>
      </c>
    </row>
    <row r="21">
      <c r="A21" s="6" t="n">
        <v>5</v>
      </c>
      <c r="B21" s="6" t="inlineStr">
        <is>
          <t>United Kingdom and Europe</t>
        </is>
      </c>
      <c r="C21" s="10" t="n">
        <v>410400</v>
      </c>
      <c r="D21" s="10" t="n">
        <v>980</v>
      </c>
      <c r="E21" s="8" t="n">
        <v>6149</v>
      </c>
      <c r="F21" s="14" t="n">
        <v>418.8</v>
      </c>
      <c r="G21" s="7" t="n">
        <v>2442.34</v>
      </c>
    </row>
    <row r="22">
      <c r="A22" s="6" t="n">
        <v>5</v>
      </c>
      <c r="B22" s="6" t="inlineStr">
        <is>
          <t>Asia and the rest of the world</t>
        </is>
      </c>
      <c r="C22" s="10" t="n">
        <v>288800</v>
      </c>
      <c r="D22" s="10" t="n">
        <v>610</v>
      </c>
      <c r="E22" s="8" t="n">
        <v>6951</v>
      </c>
      <c r="F22" s="14" t="n">
        <v>473.4</v>
      </c>
      <c r="G22" s="7" t="n">
        <v>1903.34</v>
      </c>
    </row>
    <row r="23">
      <c r="A23" s="6" t="n">
        <v>6</v>
      </c>
      <c r="B23" s="6" t="inlineStr">
        <is>
          <t>Saudi Arabia and the Gulf</t>
        </is>
      </c>
      <c r="C23" s="10" t="n">
        <v>601600</v>
      </c>
      <c r="D23" s="10" t="n">
        <v>1450</v>
      </c>
      <c r="E23" s="8" t="n">
        <v>6092</v>
      </c>
      <c r="F23" s="14" t="n">
        <v>414.9</v>
      </c>
      <c r="G23" s="7" t="n">
        <v>2701</v>
      </c>
    </row>
    <row r="24">
      <c r="A24" s="6" t="n">
        <v>6</v>
      </c>
      <c r="B24" s="6" t="inlineStr">
        <is>
          <t>Nigeria and West Africa</t>
        </is>
      </c>
      <c r="C24" s="10" t="n">
        <v>357200</v>
      </c>
      <c r="D24" s="10" t="n">
        <v>420</v>
      </c>
      <c r="E24" s="8" t="n">
        <v>12487</v>
      </c>
      <c r="F24" s="14" t="n">
        <v>850.5</v>
      </c>
      <c r="G24" s="7" t="n">
        <v>1640</v>
      </c>
    </row>
    <row r="25">
      <c r="A25" s="6" t="n">
        <v>6</v>
      </c>
      <c r="B25" s="6" t="inlineStr">
        <is>
          <t>United Kingdom and Europe</t>
        </is>
      </c>
      <c r="C25" s="10" t="n">
        <v>488800</v>
      </c>
      <c r="D25" s="10" t="n">
        <v>980</v>
      </c>
      <c r="E25" s="8" t="n">
        <v>7323</v>
      </c>
      <c r="F25" s="14" t="n">
        <v>498.8</v>
      </c>
      <c r="G25" s="7" t="n">
        <v>2442.34</v>
      </c>
    </row>
    <row r="26">
      <c r="A26" s="6" t="n">
        <v>6</v>
      </c>
      <c r="B26" s="6" t="inlineStr">
        <is>
          <t>Asia and the rest of the world</t>
        </is>
      </c>
      <c r="C26" s="10" t="n">
        <v>432400</v>
      </c>
      <c r="D26" s="10" t="n">
        <v>610</v>
      </c>
      <c r="E26" s="8" t="n">
        <v>10408</v>
      </c>
      <c r="F26" s="14" t="n">
        <v>708.9</v>
      </c>
      <c r="G26" s="7" t="n">
        <v>1903.34</v>
      </c>
    </row>
    <row r="27">
      <c r="A27" s="6" t="n">
        <v>7</v>
      </c>
      <c r="B27" s="6" t="inlineStr">
        <is>
          <t>Saudi Arabia and the Gulf</t>
        </is>
      </c>
      <c r="C27" s="10" t="n">
        <v>675800</v>
      </c>
      <c r="D27" s="10" t="n">
        <v>1450</v>
      </c>
      <c r="E27" s="8" t="n">
        <v>6843</v>
      </c>
      <c r="F27" s="14" t="n">
        <v>466.1</v>
      </c>
      <c r="G27" s="7" t="n">
        <v>2701</v>
      </c>
    </row>
    <row r="28">
      <c r="A28" s="6" t="n">
        <v>7</v>
      </c>
      <c r="B28" s="6" t="inlineStr">
        <is>
          <t>Nigeria and West Africa</t>
        </is>
      </c>
      <c r="C28" s="10" t="n">
        <v>392400</v>
      </c>
      <c r="D28" s="10" t="n">
        <v>420</v>
      </c>
      <c r="E28" s="8" t="n">
        <v>13717</v>
      </c>
      <c r="F28" s="14" t="n">
        <v>934.3</v>
      </c>
      <c r="G28" s="7" t="n">
        <v>1640</v>
      </c>
    </row>
    <row r="29">
      <c r="A29" s="6" t="n">
        <v>7</v>
      </c>
      <c r="B29" s="6" t="inlineStr">
        <is>
          <t>United Kingdom and Europe</t>
        </is>
      </c>
      <c r="C29" s="10" t="n">
        <v>545000</v>
      </c>
      <c r="D29" s="10" t="n">
        <v>980</v>
      </c>
      <c r="E29" s="8" t="n">
        <v>8165</v>
      </c>
      <c r="F29" s="14" t="n">
        <v>556.1</v>
      </c>
      <c r="G29" s="7" t="n">
        <v>2442.34</v>
      </c>
    </row>
    <row r="30">
      <c r="A30" s="6" t="n">
        <v>7</v>
      </c>
      <c r="B30" s="6" t="inlineStr">
        <is>
          <t>Asia and the rest of the world</t>
        </is>
      </c>
      <c r="C30" s="10" t="n">
        <v>566800</v>
      </c>
      <c r="D30" s="10" t="n">
        <v>610</v>
      </c>
      <c r="E30" s="8" t="n">
        <v>13642</v>
      </c>
      <c r="F30" s="14" t="n">
        <v>929.2</v>
      </c>
      <c r="G30" s="7" t="n">
        <v>1903.34</v>
      </c>
    </row>
    <row r="31">
      <c r="A31" s="6" t="n">
        <v>8</v>
      </c>
      <c r="B31" s="6" t="inlineStr">
        <is>
          <t>Saudi Arabia and the Gulf</t>
        </is>
      </c>
      <c r="C31" s="10" t="n">
        <v>726000</v>
      </c>
      <c r="D31" s="10" t="n">
        <v>1450</v>
      </c>
      <c r="E31" s="8" t="n">
        <v>7351</v>
      </c>
      <c r="F31" s="14" t="n">
        <v>500.7</v>
      </c>
      <c r="G31" s="7" t="n">
        <v>2701</v>
      </c>
    </row>
    <row r="32">
      <c r="A32" s="6" t="n">
        <v>8</v>
      </c>
      <c r="B32" s="6" t="inlineStr">
        <is>
          <t>Nigeria and West Africa</t>
        </is>
      </c>
      <c r="C32" s="10" t="n">
        <v>435600</v>
      </c>
      <c r="D32" s="10" t="n">
        <v>420</v>
      </c>
      <c r="E32" s="8" t="n">
        <v>15228</v>
      </c>
      <c r="F32" s="14" t="n">
        <v>1037.1</v>
      </c>
      <c r="G32" s="7" t="n">
        <v>1640</v>
      </c>
    </row>
    <row r="33">
      <c r="A33" s="6" t="n">
        <v>8</v>
      </c>
      <c r="B33" s="6" t="inlineStr">
        <is>
          <t>United Kingdom and Europe</t>
        </is>
      </c>
      <c r="C33" s="10" t="n">
        <v>580800</v>
      </c>
      <c r="D33" s="10" t="n">
        <v>980</v>
      </c>
      <c r="E33" s="8" t="n">
        <v>8701</v>
      </c>
      <c r="F33" s="14" t="n">
        <v>592.7</v>
      </c>
      <c r="G33" s="7" t="n">
        <v>2442.34</v>
      </c>
    </row>
    <row r="34">
      <c r="A34" s="6" t="n">
        <v>8</v>
      </c>
      <c r="B34" s="6" t="inlineStr">
        <is>
          <t>Asia and the rest of the world</t>
        </is>
      </c>
      <c r="C34" s="10" t="n">
        <v>677600</v>
      </c>
      <c r="D34" s="10" t="n">
        <v>610</v>
      </c>
      <c r="E34" s="8" t="n">
        <v>16309</v>
      </c>
      <c r="F34" s="14" t="n">
        <v>1110.8</v>
      </c>
      <c r="G34" s="7" t="n">
        <v>1903.34</v>
      </c>
    </row>
    <row r="35">
      <c r="A35" s="6" t="n">
        <v>9</v>
      </c>
      <c r="B35" s="6" t="inlineStr">
        <is>
          <t>Saudi Arabia and the Gulf</t>
        </is>
      </c>
      <c r="C35" s="10" t="n">
        <v>783000</v>
      </c>
      <c r="D35" s="10" t="n">
        <v>1450</v>
      </c>
      <c r="E35" s="8" t="n">
        <v>7928</v>
      </c>
      <c r="F35" s="14" t="n">
        <v>540</v>
      </c>
      <c r="G35" s="7" t="n">
        <v>2701</v>
      </c>
    </row>
    <row r="36">
      <c r="A36" s="6" t="n">
        <v>9</v>
      </c>
      <c r="B36" s="6" t="inlineStr">
        <is>
          <t>Nigeria and West Africa</t>
        </is>
      </c>
      <c r="C36" s="10" t="n">
        <v>443700</v>
      </c>
      <c r="D36" s="10" t="n">
        <v>420</v>
      </c>
      <c r="E36" s="8" t="n">
        <v>15511</v>
      </c>
      <c r="F36" s="14" t="n">
        <v>1056.4</v>
      </c>
      <c r="G36" s="7" t="n">
        <v>1640</v>
      </c>
    </row>
    <row r="37">
      <c r="A37" s="6" t="n">
        <v>9</v>
      </c>
      <c r="B37" s="6" t="inlineStr">
        <is>
          <t>United Kingdom and Europe</t>
        </is>
      </c>
      <c r="C37" s="10" t="n">
        <v>626400</v>
      </c>
      <c r="D37" s="10" t="n">
        <v>980</v>
      </c>
      <c r="E37" s="8" t="n">
        <v>9385</v>
      </c>
      <c r="F37" s="14" t="n">
        <v>639.2</v>
      </c>
      <c r="G37" s="7" t="n">
        <v>2442.34</v>
      </c>
    </row>
    <row r="38">
      <c r="A38" s="6" t="n">
        <v>9</v>
      </c>
      <c r="B38" s="6" t="inlineStr">
        <is>
          <t>Asia and the rest of the world</t>
        </is>
      </c>
      <c r="C38" s="10" t="n">
        <v>756900</v>
      </c>
      <c r="D38" s="10" t="n">
        <v>610</v>
      </c>
      <c r="E38" s="8" t="n">
        <v>18218</v>
      </c>
      <c r="F38" s="14" t="n">
        <v>1240.8</v>
      </c>
      <c r="G38" s="7" t="n">
        <v>1903.34</v>
      </c>
    </row>
    <row r="39">
      <c r="A39" s="6" t="n">
        <v>10</v>
      </c>
      <c r="B39" s="6" t="inlineStr">
        <is>
          <t>Saudi Arabia and the Gulf</t>
        </is>
      </c>
      <c r="C39" s="10" t="n">
        <v>828000</v>
      </c>
      <c r="D39" s="10" t="n">
        <v>1450</v>
      </c>
      <c r="E39" s="8" t="n">
        <v>8384</v>
      </c>
      <c r="F39" s="14" t="n">
        <v>571</v>
      </c>
      <c r="G39" s="7" t="n">
        <v>2701</v>
      </c>
    </row>
    <row r="40">
      <c r="A40" s="6" t="n">
        <v>10</v>
      </c>
      <c r="B40" s="6" t="inlineStr">
        <is>
          <t>Nigeria and West Africa</t>
        </is>
      </c>
      <c r="C40" s="10" t="n">
        <v>469200</v>
      </c>
      <c r="D40" s="10" t="n">
        <v>420</v>
      </c>
      <c r="E40" s="8" t="n">
        <v>16402</v>
      </c>
      <c r="F40" s="14" t="n">
        <v>1117.1</v>
      </c>
      <c r="G40" s="7" t="n">
        <v>1640</v>
      </c>
    </row>
    <row r="41">
      <c r="A41" s="6" t="n">
        <v>10</v>
      </c>
      <c r="B41" s="6" t="inlineStr">
        <is>
          <t>United Kingdom and Europe</t>
        </is>
      </c>
      <c r="C41" s="10" t="n">
        <v>662400</v>
      </c>
      <c r="D41" s="10" t="n">
        <v>980</v>
      </c>
      <c r="E41" s="8" t="n">
        <v>9924</v>
      </c>
      <c r="F41" s="14" t="n">
        <v>675.9</v>
      </c>
      <c r="G41" s="7" t="n">
        <v>2442.34</v>
      </c>
    </row>
    <row r="42">
      <c r="A42" s="6" t="n">
        <v>10</v>
      </c>
      <c r="B42" s="6" t="inlineStr">
        <is>
          <t>Asia and the rest of the world</t>
        </is>
      </c>
      <c r="C42" s="10" t="n">
        <v>800400</v>
      </c>
      <c r="D42" s="10" t="n">
        <v>610</v>
      </c>
      <c r="E42" s="8" t="n">
        <v>19265</v>
      </c>
      <c r="F42" s="14" t="n">
        <v>1312.1</v>
      </c>
      <c r="G42" s="7" t="n">
        <v>1903.34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0" customWidth="1" min="12" max="12"/>
  </cols>
  <sheetData>
    <row r="1">
      <c r="A1" s="1" t="inlineStr">
        <is>
          <t>WorldWide English College — London Campus</t>
        </is>
      </c>
    </row>
    <row r="2">
      <c r="A2" s="2" t="inlineStr">
        <is>
          <t>10 Establishment</t>
        </is>
      </c>
    </row>
    <row r="3">
      <c r="A3" s="3" t="inlineStr">
        <is>
          <t>Every post a real post, hired against a threshold rather than as a percentage of revenue.</t>
        </is>
      </c>
    </row>
    <row r="6" ht="30" customHeight="1">
      <c r="A6" s="4" t="inlineStr">
        <is>
          <t>Year</t>
        </is>
      </c>
      <c r="B6" s="4" t="inlineStr">
        <is>
          <t>Instructors</t>
        </is>
      </c>
      <c r="C6" s="4" t="inlineStr">
        <is>
          <t>Instruction cost</t>
        </is>
      </c>
      <c r="D6" s="4" t="inlineStr">
        <is>
          <t>Registrar</t>
        </is>
      </c>
      <c r="E6" s="4" t="inlineStr">
        <is>
          <t>Admissions officer</t>
        </is>
      </c>
      <c r="F6" s="4" t="inlineStr">
        <is>
          <t>Director of Academic Standards</t>
        </is>
      </c>
      <c r="G6" s="4" t="inlineStr">
        <is>
          <t>Examinations officer</t>
        </is>
      </c>
      <c r="H6" s="4" t="inlineStr">
        <is>
          <t>Student support officer</t>
        </is>
      </c>
      <c r="I6" s="4" t="inlineStr">
        <is>
          <t>Finance and compliance officer</t>
        </is>
      </c>
      <c r="J6" s="4" t="inlineStr">
        <is>
          <t>Platform engineer</t>
        </is>
      </c>
      <c r="K6" s="4" t="inlineStr">
        <is>
          <t>Marketing and partnerships lead</t>
        </is>
      </c>
      <c r="L6" s="4" t="inlineStr">
        <is>
          <t>Establishment cost</t>
        </is>
      </c>
    </row>
    <row r="7">
      <c r="A7" s="6" t="n">
        <v>1</v>
      </c>
      <c r="B7" s="8" t="n">
        <v>4</v>
      </c>
      <c r="C7" s="10" t="n">
        <v>300080</v>
      </c>
      <c r="D7" s="8" t="n">
        <v>1</v>
      </c>
      <c r="E7" s="8" t="n">
        <v>1</v>
      </c>
      <c r="F7" s="8" t="n">
        <v>0</v>
      </c>
      <c r="G7" s="8" t="n">
        <v>0</v>
      </c>
      <c r="H7" s="8" t="n">
        <v>1</v>
      </c>
      <c r="I7" s="8" t="n">
        <v>0</v>
      </c>
      <c r="J7" s="8" t="n">
        <v>1</v>
      </c>
      <c r="K7" s="8" t="n">
        <v>1</v>
      </c>
      <c r="L7" s="10" t="n">
        <v>388410</v>
      </c>
    </row>
    <row r="8">
      <c r="A8" s="6" t="n">
        <v>2</v>
      </c>
      <c r="B8" s="8" t="n">
        <v>10</v>
      </c>
      <c r="C8" s="10" t="n">
        <v>750200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10" t="n">
        <v>640090</v>
      </c>
    </row>
    <row r="9">
      <c r="A9" s="6" t="n">
        <v>3</v>
      </c>
      <c r="B9" s="8" t="n">
        <v>18</v>
      </c>
      <c r="C9" s="10" t="n">
        <v>1350360</v>
      </c>
      <c r="D9" s="8" t="n">
        <v>1</v>
      </c>
      <c r="E9" s="8" t="n">
        <v>2</v>
      </c>
      <c r="F9" s="8" t="n">
        <v>1</v>
      </c>
      <c r="G9" s="8" t="n">
        <v>1</v>
      </c>
      <c r="H9" s="8" t="n">
        <v>2</v>
      </c>
      <c r="I9" s="8" t="n">
        <v>1</v>
      </c>
      <c r="J9" s="8" t="n">
        <v>1</v>
      </c>
      <c r="K9" s="8" t="n">
        <v>1</v>
      </c>
      <c r="L9" s="10" t="n">
        <v>745360</v>
      </c>
    </row>
    <row r="10">
      <c r="A10" s="6" t="n">
        <v>4</v>
      </c>
      <c r="B10" s="8" t="n">
        <v>29</v>
      </c>
      <c r="C10" s="10" t="n">
        <v>2175580</v>
      </c>
      <c r="D10" s="8" t="n">
        <v>1</v>
      </c>
      <c r="E10" s="8" t="n">
        <v>3</v>
      </c>
      <c r="F10" s="8" t="n">
        <v>1</v>
      </c>
      <c r="G10" s="8" t="n">
        <v>1</v>
      </c>
      <c r="H10" s="8" t="n">
        <v>2</v>
      </c>
      <c r="I10" s="8" t="n">
        <v>1</v>
      </c>
      <c r="J10" s="8" t="n">
        <v>1</v>
      </c>
      <c r="K10" s="8" t="n">
        <v>1</v>
      </c>
      <c r="L10" s="10" t="n">
        <v>801020</v>
      </c>
    </row>
    <row r="11">
      <c r="A11" s="6" t="n">
        <v>5</v>
      </c>
      <c r="B11" s="8" t="n">
        <v>39</v>
      </c>
      <c r="C11" s="10" t="n">
        <v>2925780</v>
      </c>
      <c r="D11" s="8" t="n">
        <v>1</v>
      </c>
      <c r="E11" s="8" t="n">
        <v>4</v>
      </c>
      <c r="F11" s="8" t="n">
        <v>1</v>
      </c>
      <c r="G11" s="8" t="n">
        <v>2</v>
      </c>
      <c r="H11" s="8" t="n">
        <v>3</v>
      </c>
      <c r="I11" s="8" t="n">
        <v>1</v>
      </c>
      <c r="J11" s="8" t="n">
        <v>1</v>
      </c>
      <c r="K11" s="8" t="n">
        <v>1</v>
      </c>
      <c r="L11" s="10" t="n">
        <v>971630</v>
      </c>
    </row>
    <row r="12">
      <c r="A12" s="6" t="n">
        <v>6</v>
      </c>
      <c r="B12" s="8" t="n">
        <v>49</v>
      </c>
      <c r="C12" s="10" t="n">
        <v>3675980</v>
      </c>
      <c r="D12" s="8" t="n">
        <v>1</v>
      </c>
      <c r="E12" s="8" t="n">
        <v>4</v>
      </c>
      <c r="F12" s="8" t="n">
        <v>1</v>
      </c>
      <c r="G12" s="8" t="n">
        <v>2</v>
      </c>
      <c r="H12" s="8" t="n">
        <v>4</v>
      </c>
      <c r="I12" s="8" t="n">
        <v>1</v>
      </c>
      <c r="J12" s="8" t="n">
        <v>2</v>
      </c>
      <c r="K12" s="8" t="n">
        <v>1</v>
      </c>
      <c r="L12" s="10" t="n">
        <v>1132560</v>
      </c>
    </row>
    <row r="13">
      <c r="A13" s="6" t="n">
        <v>7</v>
      </c>
      <c r="B13" s="8" t="n">
        <v>58</v>
      </c>
      <c r="C13" s="10" t="n">
        <v>4351160</v>
      </c>
      <c r="D13" s="8" t="n">
        <v>1</v>
      </c>
      <c r="E13" s="8" t="n">
        <v>5</v>
      </c>
      <c r="F13" s="8" t="n">
        <v>1</v>
      </c>
      <c r="G13" s="8" t="n">
        <v>2</v>
      </c>
      <c r="H13" s="8" t="n">
        <v>4</v>
      </c>
      <c r="I13" s="8" t="n">
        <v>1</v>
      </c>
      <c r="J13" s="8" t="n">
        <v>2</v>
      </c>
      <c r="K13" s="8" t="n">
        <v>1</v>
      </c>
      <c r="L13" s="10" t="n">
        <v>1188220</v>
      </c>
    </row>
    <row r="14">
      <c r="A14" s="6" t="n">
        <v>8</v>
      </c>
      <c r="B14" s="8" t="n">
        <v>65</v>
      </c>
      <c r="C14" s="10" t="n">
        <v>4876300</v>
      </c>
      <c r="D14" s="8" t="n">
        <v>1</v>
      </c>
      <c r="E14" s="8" t="n">
        <v>6</v>
      </c>
      <c r="F14" s="8" t="n">
        <v>1</v>
      </c>
      <c r="G14" s="8" t="n">
        <v>3</v>
      </c>
      <c r="H14" s="8" t="n">
        <v>5</v>
      </c>
      <c r="I14" s="8" t="n">
        <v>1</v>
      </c>
      <c r="J14" s="8" t="n">
        <v>2</v>
      </c>
      <c r="K14" s="8" t="n">
        <v>1</v>
      </c>
      <c r="L14" s="10" t="n">
        <v>1358830</v>
      </c>
    </row>
    <row r="15">
      <c r="A15" s="6" t="n">
        <v>9</v>
      </c>
      <c r="B15" s="8" t="n">
        <v>71</v>
      </c>
      <c r="C15" s="10" t="n">
        <v>5326420</v>
      </c>
      <c r="D15" s="8" t="n">
        <v>1</v>
      </c>
      <c r="E15" s="8" t="n">
        <v>6</v>
      </c>
      <c r="F15" s="8" t="n">
        <v>1</v>
      </c>
      <c r="G15" s="8" t="n">
        <v>3</v>
      </c>
      <c r="H15" s="8" t="n">
        <v>5</v>
      </c>
      <c r="I15" s="8" t="n">
        <v>1</v>
      </c>
      <c r="J15" s="8" t="n">
        <v>2</v>
      </c>
      <c r="K15" s="8" t="n">
        <v>1</v>
      </c>
      <c r="L15" s="10" t="n">
        <v>1358830</v>
      </c>
    </row>
    <row r="16">
      <c r="A16" s="6" t="n">
        <v>10</v>
      </c>
      <c r="B16" s="8" t="n">
        <v>75</v>
      </c>
      <c r="C16" s="10" t="n">
        <v>5626500</v>
      </c>
      <c r="D16" s="8" t="n">
        <v>1</v>
      </c>
      <c r="E16" s="8" t="n">
        <v>6</v>
      </c>
      <c r="F16" s="8" t="n">
        <v>1</v>
      </c>
      <c r="G16" s="8" t="n">
        <v>3</v>
      </c>
      <c r="H16" s="8" t="n">
        <v>5</v>
      </c>
      <c r="I16" s="8" t="n">
        <v>1</v>
      </c>
      <c r="J16" s="8" t="n">
        <v>2</v>
      </c>
      <c r="K16" s="8" t="n">
        <v>1</v>
      </c>
      <c r="L16" s="10" t="n">
        <v>1358830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</cols>
  <sheetData>
    <row r="1">
      <c r="A1" s="1" t="inlineStr">
        <is>
          <t>WorldWide English College — London Campus</t>
        </is>
      </c>
    </row>
    <row r="2">
      <c r="A2" s="2" t="inlineStr">
        <is>
          <t>11 Allocation</t>
        </is>
      </c>
    </row>
    <row r="3">
      <c r="A3" s="3" t="inlineStr">
        <is>
          <t>Where every dollar of net tuition goes across the decade. Must reconcile to 100%.</t>
        </is>
      </c>
    </row>
    <row r="6" ht="30" customHeight="1">
      <c r="A6" s="4" t="inlineStr">
        <is>
          <t>Category</t>
        </is>
      </c>
      <c r="B6" s="4" t="inlineStr">
        <is>
          <t>Ten-year amount</t>
        </is>
      </c>
      <c r="C6" s="4" t="inlineStr">
        <is>
          <t>Share of net tuition</t>
        </is>
      </c>
    </row>
    <row r="7">
      <c r="A7" s="6" t="inlineStr">
        <is>
          <t>Academic delivery and instruction</t>
        </is>
      </c>
      <c r="B7" s="10" t="n">
        <v>31358360</v>
      </c>
      <c r="C7" s="9">
        <f>B7/$B$15</f>
        <v/>
      </c>
    </row>
    <row r="8">
      <c r="A8" s="6" t="inlineStr">
        <is>
          <t>Student acquisition and admissions</t>
        </is>
      </c>
      <c r="B8" s="10" t="n">
        <v>15880000</v>
      </c>
      <c r="C8" s="9">
        <f>B8/$B$15</f>
        <v/>
      </c>
    </row>
    <row r="9">
      <c r="A9" s="6" t="inlineStr">
        <is>
          <t>Academic administration and establishment</t>
        </is>
      </c>
      <c r="B9" s="10" t="n">
        <v>9943780</v>
      </c>
      <c r="C9" s="9">
        <f>B9/$B$15</f>
        <v/>
      </c>
    </row>
    <row r="10">
      <c r="A10" s="6" t="inlineStr">
        <is>
          <t>Platform, infrastructure and security</t>
        </is>
      </c>
      <c r="B10" s="10" t="n">
        <v>1208701</v>
      </c>
      <c r="C10" s="9">
        <f>B10/$B$15</f>
        <v/>
      </c>
    </row>
    <row r="11">
      <c r="A11" s="6" t="inlineStr">
        <is>
          <t>Institutional operations and compliance</t>
        </is>
      </c>
      <c r="B11" s="10" t="n">
        <v>1477224</v>
      </c>
      <c r="C11" s="9">
        <f>B11/$B$15</f>
        <v/>
      </c>
    </row>
    <row r="12">
      <c r="A12" s="6" t="inlineStr">
        <is>
          <t>Publishing, examination and institutional development</t>
        </is>
      </c>
      <c r="B12" s="10" t="n">
        <v>5012191</v>
      </c>
      <c r="C12" s="9">
        <f>B12/$B$15</f>
        <v/>
      </c>
    </row>
    <row r="13">
      <c r="A13" s="6" t="inlineStr">
        <is>
          <t>Reserve and institutional capital</t>
        </is>
      </c>
      <c r="B13" s="10" t="n">
        <v>20032289</v>
      </c>
      <c r="C13" s="9">
        <f>B13/$B$15</f>
        <v/>
      </c>
    </row>
    <row r="14">
      <c r="A14" s="5" t="inlineStr">
        <is>
          <t>TOTAL ALLOCATED</t>
        </is>
      </c>
      <c r="B14" s="15">
        <f>SUM(B7:B13)</f>
        <v/>
      </c>
      <c r="C14" s="13">
        <f>SUM(C7:C13)</f>
        <v/>
      </c>
    </row>
    <row r="15">
      <c r="A15" s="5" t="inlineStr">
        <is>
          <t>NET TUITION</t>
        </is>
      </c>
      <c r="B15" s="15" t="n">
        <v>84912545</v>
      </c>
    </row>
    <row r="16">
      <c r="A16" s="5" t="inlineStr">
        <is>
          <t>Reconciliation (must be zero)</t>
        </is>
      </c>
      <c r="B16" s="12">
        <f>B14-B15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WorldWide English College — London Campus</t>
        </is>
      </c>
    </row>
    <row r="2">
      <c r="A2" s="2" t="inlineStr">
        <is>
          <t>12 Reserves</t>
        </is>
      </c>
    </row>
    <row r="3">
      <c r="A3" s="3" t="inlineStr">
        <is>
          <t>The reserve is stated in months of operating cost, because that is what it has to survive.</t>
        </is>
      </c>
    </row>
    <row r="6" ht="30" customHeight="1">
      <c r="A6" s="4" t="inlineStr">
        <is>
          <t>Year</t>
        </is>
      </c>
      <c r="B6" s="4" t="inlineStr">
        <is>
          <t>Net tuition</t>
        </is>
      </c>
      <c r="C6" s="4" t="inlineStr">
        <is>
          <t>Total cost</t>
        </is>
      </c>
      <c r="D6" s="4" t="inlineStr">
        <is>
          <t>Surplus</t>
        </is>
      </c>
      <c r="E6" s="4" t="inlineStr">
        <is>
          <t>Contribution</t>
        </is>
      </c>
      <c r="F6" s="4" t="inlineStr">
        <is>
          <t>Opening</t>
        </is>
      </c>
      <c r="G6" s="4" t="inlineStr">
        <is>
          <t>Closing</t>
        </is>
      </c>
      <c r="H6" s="4" t="inlineStr">
        <is>
          <t>Months of cost</t>
        </is>
      </c>
      <c r="I6" s="4" t="inlineStr">
        <is>
          <t>Target months</t>
        </is>
      </c>
    </row>
    <row r="7">
      <c r="A7" s="6" t="n">
        <v>1</v>
      </c>
      <c r="B7" s="10" t="n">
        <v>578624</v>
      </c>
      <c r="C7" s="10" t="n">
        <v>1099384</v>
      </c>
      <c r="D7" s="10">
        <f>B7-C7</f>
        <v/>
      </c>
      <c r="E7" s="10" t="n">
        <v>-520759</v>
      </c>
      <c r="F7" s="10" t="n">
        <v>0</v>
      </c>
      <c r="G7" s="15">
        <f>F7+E7</f>
        <v/>
      </c>
      <c r="H7" s="14">
        <f>G7/(C7/12)</f>
        <v/>
      </c>
      <c r="I7" s="8" t="n">
        <v>9</v>
      </c>
    </row>
    <row r="8">
      <c r="A8" s="6" t="n">
        <v>2</v>
      </c>
      <c r="B8" s="10" t="n">
        <v>1696671</v>
      </c>
      <c r="C8" s="10" t="n">
        <v>2151138</v>
      </c>
      <c r="D8" s="10">
        <f>B8-C8</f>
        <v/>
      </c>
      <c r="E8" s="10" t="n">
        <v>-454467</v>
      </c>
      <c r="F8" s="10" t="n">
        <v>0</v>
      </c>
      <c r="G8" s="15">
        <f>F8+E8</f>
        <v/>
      </c>
      <c r="H8" s="14">
        <f>G8/(C8/12)</f>
        <v/>
      </c>
      <c r="I8" s="8" t="n">
        <v>9</v>
      </c>
    </row>
    <row r="9">
      <c r="A9" s="6" t="n">
        <v>3</v>
      </c>
      <c r="B9" s="10" t="n">
        <v>3331940</v>
      </c>
      <c r="C9" s="10" t="n">
        <v>3301079</v>
      </c>
      <c r="D9" s="10">
        <f>B9-C9</f>
        <v/>
      </c>
      <c r="E9" s="10" t="n">
        <v>18517</v>
      </c>
      <c r="F9" s="10" t="n">
        <v>0</v>
      </c>
      <c r="G9" s="15">
        <f>F9+E9</f>
        <v/>
      </c>
      <c r="H9" s="14">
        <f>G9/(C9/12)</f>
        <v/>
      </c>
      <c r="I9" s="8" t="n">
        <v>9</v>
      </c>
    </row>
    <row r="10">
      <c r="A10" s="6" t="n">
        <v>4</v>
      </c>
      <c r="B10" s="10" t="n">
        <v>5436216</v>
      </c>
      <c r="C10" s="10" t="n">
        <v>4706750</v>
      </c>
      <c r="D10" s="10">
        <f>B10-C10</f>
        <v/>
      </c>
      <c r="E10" s="10" t="n">
        <v>437680</v>
      </c>
      <c r="F10" s="10" t="n">
        <v>18517</v>
      </c>
      <c r="G10" s="15">
        <f>F10+E10</f>
        <v/>
      </c>
      <c r="H10" s="14">
        <f>G10/(C10/12)</f>
        <v/>
      </c>
      <c r="I10" s="8" t="n">
        <v>9</v>
      </c>
    </row>
    <row r="11">
      <c r="A11" s="6" t="n">
        <v>5</v>
      </c>
      <c r="B11" s="10" t="n">
        <v>7695577</v>
      </c>
      <c r="C11" s="10" t="n">
        <v>6141561</v>
      </c>
      <c r="D11" s="10">
        <f>B11-C11</f>
        <v/>
      </c>
      <c r="E11" s="10" t="n">
        <v>932410</v>
      </c>
      <c r="F11" s="10" t="n">
        <v>456197</v>
      </c>
      <c r="G11" s="15">
        <f>F11+E11</f>
        <v/>
      </c>
      <c r="H11" s="14">
        <f>G11/(C11/12)</f>
        <v/>
      </c>
      <c r="I11" s="8" t="n">
        <v>9</v>
      </c>
    </row>
    <row r="12">
      <c r="A12" s="6" t="n">
        <v>6</v>
      </c>
      <c r="B12" s="10" t="n">
        <v>9921326</v>
      </c>
      <c r="C12" s="10" t="n">
        <v>7554355</v>
      </c>
      <c r="D12" s="10">
        <f>B12-C12</f>
        <v/>
      </c>
      <c r="E12" s="10" t="n">
        <v>1420183</v>
      </c>
      <c r="F12" s="10" t="n">
        <v>1388607</v>
      </c>
      <c r="G12" s="15">
        <f>F12+E12</f>
        <v/>
      </c>
      <c r="H12" s="14">
        <f>G12/(C12/12)</f>
        <v/>
      </c>
      <c r="I12" s="8" t="n">
        <v>9</v>
      </c>
    </row>
    <row r="13">
      <c r="A13" s="6" t="n">
        <v>7</v>
      </c>
      <c r="B13" s="10" t="n">
        <v>11907058</v>
      </c>
      <c r="C13" s="10" t="n">
        <v>8710950</v>
      </c>
      <c r="D13" s="10">
        <f>B13-C13</f>
        <v/>
      </c>
      <c r="E13" s="10" t="n">
        <v>1917664</v>
      </c>
      <c r="F13" s="10" t="n">
        <v>2808789</v>
      </c>
      <c r="G13" s="15">
        <f>F13+E13</f>
        <v/>
      </c>
      <c r="H13" s="14">
        <f>G13/(C13/12)</f>
        <v/>
      </c>
      <c r="I13" s="8" t="n">
        <v>9</v>
      </c>
    </row>
    <row r="14">
      <c r="A14" s="6" t="n">
        <v>8</v>
      </c>
      <c r="B14" s="10" t="n">
        <v>13582521</v>
      </c>
      <c r="C14" s="10" t="n">
        <v>9752942</v>
      </c>
      <c r="D14" s="10">
        <f>B14-C14</f>
        <v/>
      </c>
      <c r="E14" s="10" t="n">
        <v>2297747</v>
      </c>
      <c r="F14" s="10" t="n">
        <v>4726454</v>
      </c>
      <c r="G14" s="15">
        <f>F14+E14</f>
        <v/>
      </c>
      <c r="H14" s="14">
        <f>G14/(C14/12)</f>
        <v/>
      </c>
      <c r="I14" s="8" t="n">
        <v>9</v>
      </c>
    </row>
    <row r="15">
      <c r="A15" s="6" t="n">
        <v>9</v>
      </c>
      <c r="B15" s="10" t="n">
        <v>14877742</v>
      </c>
      <c r="C15" s="10" t="n">
        <v>10474340</v>
      </c>
      <c r="D15" s="10">
        <f>B15-C15</f>
        <v/>
      </c>
      <c r="E15" s="10" t="n">
        <v>2642042</v>
      </c>
      <c r="F15" s="10" t="n">
        <v>7024201</v>
      </c>
      <c r="G15" s="15">
        <f>F15+E15</f>
        <v/>
      </c>
      <c r="H15" s="14">
        <f>G15/(C15/12)</f>
        <v/>
      </c>
      <c r="I15" s="8" t="n">
        <v>9</v>
      </c>
    </row>
    <row r="16">
      <c r="A16" s="6" t="n">
        <v>10</v>
      </c>
      <c r="B16" s="10" t="n">
        <v>15884870</v>
      </c>
      <c r="C16" s="10" t="n">
        <v>10987757</v>
      </c>
      <c r="D16" s="10">
        <f>B16-C16</f>
        <v/>
      </c>
      <c r="E16" s="10" t="n">
        <v>2938268</v>
      </c>
      <c r="F16" s="10" t="n">
        <v>9666242</v>
      </c>
      <c r="G16" s="15">
        <f>F16+E16</f>
        <v/>
      </c>
      <c r="H16" s="14">
        <f>G16/(C16/12)</f>
        <v/>
      </c>
      <c r="I16" s="8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WorldWide English College — London Campus</t>
        </is>
      </c>
    </row>
    <row r="2">
      <c r="A2" s="2" t="inlineStr">
        <is>
          <t>13 Break-even</t>
        </is>
      </c>
    </row>
    <row r="3">
      <c r="A3" s="3" t="inlineStr">
        <is>
          <t>How many learners must be studying for the year to pay for itself.</t>
        </is>
      </c>
    </row>
    <row r="6" ht="30" customHeight="1">
      <c r="A6" s="4" t="inlineStr">
        <is>
          <t>Year</t>
        </is>
      </c>
      <c r="B6" s="4" t="inlineStr">
        <is>
          <t>Fixed cost</t>
        </is>
      </c>
      <c r="C6" s="4" t="inlineStr">
        <is>
          <t>Contribution / learner</t>
        </is>
      </c>
      <c r="D6" s="4" t="inlineStr">
        <is>
          <t>Break-even learners</t>
        </is>
      </c>
      <c r="E6" s="4" t="inlineStr">
        <is>
          <t>Actual learners</t>
        </is>
      </c>
      <c r="F6" s="4" t="inlineStr">
        <is>
          <t>Clears</t>
        </is>
      </c>
    </row>
    <row r="7">
      <c r="A7" s="6" t="n">
        <v>1</v>
      </c>
      <c r="B7" s="10" t="n">
        <v>1092282</v>
      </c>
      <c r="C7" s="7" t="n">
        <v>5392</v>
      </c>
      <c r="D7" s="11">
        <f>IF(C7&lt;=0,"",ROUNDUP(B7/C7,0))</f>
        <v/>
      </c>
      <c r="E7" s="8" t="n">
        <v>106</v>
      </c>
      <c r="F7" s="6">
        <f>IF(E7&gt;=D7,"yes","no")</f>
        <v/>
      </c>
    </row>
    <row r="8">
      <c r="A8" s="6" t="n">
        <v>2</v>
      </c>
      <c r="B8" s="10" t="n">
        <v>2133584</v>
      </c>
      <c r="C8" s="7" t="n">
        <v>6409</v>
      </c>
      <c r="D8" s="11">
        <f>IF(C8&lt;=0,"",ROUNDUP(B8/C8,0))</f>
        <v/>
      </c>
      <c r="E8" s="8" t="n">
        <v>262</v>
      </c>
      <c r="F8" s="6">
        <f>IF(E8&gt;=D8,"yes","no")</f>
        <v/>
      </c>
    </row>
    <row r="9">
      <c r="A9" s="6" t="n">
        <v>3</v>
      </c>
      <c r="B9" s="10" t="n">
        <v>3268986</v>
      </c>
      <c r="C9" s="7" t="n">
        <v>6889</v>
      </c>
      <c r="D9" s="11">
        <f>IF(C9&lt;=0,"",ROUNDUP(B9/C9,0))</f>
        <v/>
      </c>
      <c r="E9" s="8" t="n">
        <v>479</v>
      </c>
      <c r="F9" s="6">
        <f>IF(E9&gt;=D9,"yes","no")</f>
        <v/>
      </c>
    </row>
    <row r="10">
      <c r="A10" s="6" t="n">
        <v>4</v>
      </c>
      <c r="B10" s="10" t="n">
        <v>4655562</v>
      </c>
      <c r="C10" s="7" t="n">
        <v>7048</v>
      </c>
      <c r="D10" s="11">
        <f>IF(C10&lt;=0,"",ROUNDUP(B10/C10,0))</f>
        <v/>
      </c>
      <c r="E10" s="8" t="n">
        <v>764</v>
      </c>
      <c r="F10" s="6">
        <f>IF(E10&gt;=D10,"yes","no")</f>
        <v/>
      </c>
    </row>
    <row r="11">
      <c r="A11" s="6" t="n">
        <v>5</v>
      </c>
      <c r="B11" s="10" t="n">
        <v>6070675</v>
      </c>
      <c r="C11" s="7" t="n">
        <v>7207</v>
      </c>
      <c r="D11" s="11">
        <f>IF(C11&lt;=0,"",ROUNDUP(B11/C11,0))</f>
        <v/>
      </c>
      <c r="E11" s="8" t="n">
        <v>1058</v>
      </c>
      <c r="F11" s="6">
        <f>IF(E11&gt;=D11,"yes","no")</f>
        <v/>
      </c>
    </row>
    <row r="12">
      <c r="A12" s="6" t="n">
        <v>6</v>
      </c>
      <c r="B12" s="10" t="n">
        <v>7464240</v>
      </c>
      <c r="C12" s="7" t="n">
        <v>7309</v>
      </c>
      <c r="D12" s="11">
        <f>IF(C12&lt;=0,"",ROUNDUP(B12/C12,0))</f>
        <v/>
      </c>
      <c r="E12" s="8" t="n">
        <v>1345</v>
      </c>
      <c r="F12" s="6">
        <f>IF(E12&gt;=D12,"yes","no")</f>
        <v/>
      </c>
    </row>
    <row r="13">
      <c r="A13" s="6" t="n">
        <v>7</v>
      </c>
      <c r="B13" s="10" t="n">
        <v>8604286</v>
      </c>
      <c r="C13" s="7" t="n">
        <v>7412</v>
      </c>
      <c r="D13" s="11">
        <f>IF(C13&lt;=0,"",ROUNDUP(B13/C13,0))</f>
        <v/>
      </c>
      <c r="E13" s="8" t="n">
        <v>1592</v>
      </c>
      <c r="F13" s="6">
        <f>IF(E13&gt;=D13,"yes","no")</f>
        <v/>
      </c>
    </row>
    <row r="14">
      <c r="A14" s="6" t="n">
        <v>8</v>
      </c>
      <c r="B14" s="10" t="n">
        <v>9632141</v>
      </c>
      <c r="C14" s="7" t="n">
        <v>7466</v>
      </c>
      <c r="D14" s="11">
        <f>IF(C14&lt;=0,"",ROUNDUP(B14/C14,0))</f>
        <v/>
      </c>
      <c r="E14" s="8" t="n">
        <v>1803</v>
      </c>
      <c r="F14" s="6">
        <f>IF(E14&gt;=D14,"yes","no")</f>
        <v/>
      </c>
    </row>
    <row r="15">
      <c r="A15" s="6" t="n">
        <v>9</v>
      </c>
      <c r="B15" s="10" t="n">
        <v>10343556</v>
      </c>
      <c r="C15" s="7" t="n">
        <v>7555</v>
      </c>
      <c r="D15" s="11">
        <f>IF(C15&lt;=0,"",ROUNDUP(B15/C15,0))</f>
        <v/>
      </c>
      <c r="E15" s="8" t="n">
        <v>1952</v>
      </c>
      <c r="F15" s="6">
        <f>IF(E15&gt;=D15,"yes","no")</f>
        <v/>
      </c>
    </row>
    <row r="16">
      <c r="A16" s="6" t="n">
        <v>10</v>
      </c>
      <c r="B16" s="10" t="n">
        <v>10849000</v>
      </c>
      <c r="C16" s="7" t="n">
        <v>7603</v>
      </c>
      <c r="D16" s="11">
        <f>IF(C16&lt;=0,"",ROUNDUP(B16/C16,0))</f>
        <v/>
      </c>
      <c r="E16" s="8" t="n">
        <v>2071</v>
      </c>
      <c r="F16" s="6">
        <f>IF(E16&gt;=D16,"yes","no")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WorldWide English College — London Campus</t>
        </is>
      </c>
    </row>
    <row r="2">
      <c r="A2" s="2" t="inlineStr">
        <is>
          <t>14 Sensitivity</t>
        </is>
      </c>
    </row>
    <row r="3">
      <c r="A3" s="3" t="inlineStr">
        <is>
          <t>Single-variable shocks against the expected case, so one effect can be read without another moving.</t>
        </is>
      </c>
    </row>
    <row r="6" ht="30" customHeight="1">
      <c r="A6" s="4" t="inlineStr">
        <is>
          <t>Shock</t>
        </is>
      </c>
      <c r="B6" s="4" t="inlineStr">
        <is>
          <t>Ten-year net tuition</t>
        </is>
      </c>
      <c r="C6" s="4" t="inlineStr">
        <is>
          <t>Change</t>
        </is>
      </c>
      <c r="D6" s="4" t="inlineStr">
        <is>
          <t>Change %</t>
        </is>
      </c>
      <c r="E6" s="4" t="inlineStr">
        <is>
          <t>Ten-year surplus</t>
        </is>
      </c>
      <c r="F6" s="4" t="inlineStr">
        <is>
          <t>Surplus change</t>
        </is>
      </c>
    </row>
    <row r="7">
      <c r="A7" s="5" t="inlineStr">
        <is>
          <t>Expected case (no shock)</t>
        </is>
      </c>
      <c r="B7" s="15" t="n">
        <v>84912545</v>
      </c>
      <c r="E7" s="15" t="n">
        <v>20032291</v>
      </c>
    </row>
    <row r="8">
      <c r="A8" s="6" t="inlineStr">
        <is>
          <t>Enrolment 20% below plan</t>
        </is>
      </c>
      <c r="B8" s="10" t="n">
        <v>67930036</v>
      </c>
      <c r="C8" s="10">
        <f>B8-$B$7</f>
        <v/>
      </c>
      <c r="D8" s="9">
        <f>C8/$B$7</f>
        <v/>
      </c>
      <c r="E8" s="10" t="n">
        <v>3049780</v>
      </c>
      <c r="F8" s="10">
        <f>E8-$E$7</f>
        <v/>
      </c>
    </row>
    <row r="9">
      <c r="A9" s="6" t="inlineStr">
        <is>
          <t>Enrolment 20% above plan</t>
        </is>
      </c>
      <c r="B9" s="10" t="n">
        <v>101895054</v>
      </c>
      <c r="C9" s="10">
        <f>B9-$B$7</f>
        <v/>
      </c>
      <c r="D9" s="9">
        <f>C9/$B$7</f>
        <v/>
      </c>
      <c r="E9" s="10" t="n">
        <v>37014798</v>
      </c>
      <c r="F9" s="10">
        <f>E9-$E$7</f>
        <v/>
      </c>
    </row>
    <row r="10">
      <c r="A10" s="6" t="inlineStr">
        <is>
          <t>Cost of acquisition 30% higher</t>
        </is>
      </c>
      <c r="B10" s="10" t="n">
        <v>84912545</v>
      </c>
      <c r="C10" s="10">
        <f>B10-$B$7</f>
        <v/>
      </c>
      <c r="D10" s="9">
        <f>C10/$B$7</f>
        <v/>
      </c>
      <c r="E10" s="10" t="n">
        <v>15268291</v>
      </c>
      <c r="F10" s="10">
        <f>E10-$E$7</f>
        <v/>
      </c>
    </row>
    <row r="11">
      <c r="A11" s="6" t="inlineStr">
        <is>
          <t>Instructor cost 15% higher</t>
        </is>
      </c>
      <c r="B11" s="10" t="n">
        <v>84912545</v>
      </c>
      <c r="C11" s="10">
        <f>B11-$B$7</f>
        <v/>
      </c>
      <c r="D11" s="9">
        <f>C11/$B$7</f>
        <v/>
      </c>
      <c r="E11" s="10" t="n">
        <v>15328537</v>
      </c>
      <c r="F11" s="10">
        <f>E11-$E$7</f>
        <v/>
      </c>
    </row>
    <row r="12">
      <c r="A12" s="6" t="inlineStr">
        <is>
          <t>Continuation 10 points lower</t>
        </is>
      </c>
      <c r="B12" s="10" t="n">
        <v>71326538</v>
      </c>
      <c r="C12" s="10">
        <f>B12-$B$7</f>
        <v/>
      </c>
      <c r="D12" s="9">
        <f>C12/$B$7</f>
        <v/>
      </c>
      <c r="E12" s="10" t="n">
        <v>6446282</v>
      </c>
      <c r="F12" s="10">
        <f>E12-$E$7</f>
        <v/>
      </c>
    </row>
    <row r="13">
      <c r="A13" s="6" t="inlineStr">
        <is>
          <t>Gulf enrolment at half plan</t>
        </is>
      </c>
      <c r="B13" s="10" t="n">
        <v>77661281</v>
      </c>
      <c r="C13" s="10">
        <f>B13-$B$7</f>
        <v/>
      </c>
      <c r="D13" s="9">
        <f>C13/$B$7</f>
        <v/>
      </c>
      <c r="E13" s="10" t="n">
        <v>12781025</v>
      </c>
      <c r="F13" s="10">
        <f>E13-$E$7</f>
        <v/>
      </c>
    </row>
    <row r="14">
      <c r="A14" s="6" t="inlineStr">
        <is>
          <t>Refunds at twice the modelled rate</t>
        </is>
      </c>
      <c r="B14" s="10" t="n">
        <v>82899533</v>
      </c>
      <c r="C14" s="10">
        <f>B14-$B$7</f>
        <v/>
      </c>
      <c r="D14" s="9">
        <f>C14/$B$7</f>
        <v/>
      </c>
      <c r="E14" s="10" t="n">
        <v>18019279</v>
      </c>
      <c r="F14" s="10">
        <f>E14-$E$7</f>
        <v/>
      </c>
    </row>
    <row r="15">
      <c r="A15" s="6" t="inlineStr">
        <is>
          <t>Technology cost 50% higher</t>
        </is>
      </c>
      <c r="B15" s="10" t="n">
        <v>84912545</v>
      </c>
      <c r="C15" s="10">
        <f>B15-$B$7</f>
        <v/>
      </c>
      <c r="D15" s="9">
        <f>C15/$B$7</f>
        <v/>
      </c>
      <c r="E15" s="10" t="n">
        <v>19427941</v>
      </c>
      <c r="F15" s="10">
        <f>E15-$E$7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6" customWidth="1" min="3" max="3"/>
  </cols>
  <sheetData>
    <row r="1">
      <c r="A1" s="1" t="inlineStr">
        <is>
          <t>WorldWide English College — London Campus</t>
        </is>
      </c>
    </row>
    <row r="2">
      <c r="A2" s="2" t="inlineStr">
        <is>
          <t>15 Alternative A</t>
        </is>
      </c>
    </row>
    <row r="3">
      <c r="A3" s="3" t="inlineStr">
        <is>
          <t>The commissioning brief's architecture, computed rather than asserted.</t>
        </is>
      </c>
    </row>
    <row r="6" ht="30" customHeight="1">
      <c r="A6" s="4" t="inlineStr"/>
      <c r="B6" s="4" t="inlineStr">
        <is>
          <t>ADOPTED (verified)</t>
        </is>
      </c>
      <c r="C6" s="4" t="inlineStr">
        <is>
          <t>PROPOSED (board decision)</t>
        </is>
      </c>
    </row>
    <row r="7">
      <c r="A7" s="5" t="inlineStr">
        <is>
          <t>Levels</t>
        </is>
      </c>
      <c r="B7" s="8" t="n">
        <v>6</v>
      </c>
      <c r="C7" s="8" t="n">
        <v>10</v>
      </c>
    </row>
    <row r="8">
      <c r="A8" s="5" t="inlineStr">
        <is>
          <t>Hours per level</t>
        </is>
      </c>
      <c r="B8" s="8" t="n">
        <v>200</v>
      </c>
      <c r="C8" s="8" t="n">
        <v>120</v>
      </c>
    </row>
    <row r="9">
      <c r="A9" s="5" t="inlineStr">
        <is>
          <t>Total academic hours</t>
        </is>
      </c>
      <c r="B9" s="8" t="n">
        <v>1200</v>
      </c>
      <c r="C9" s="8" t="n">
        <v>1200</v>
      </c>
    </row>
    <row r="10">
      <c r="A10" s="5" t="inlineStr">
        <is>
          <t>Programme price</t>
        </is>
      </c>
      <c r="B10" s="7" t="n">
        <v>19000</v>
      </c>
      <c r="C10" s="7" t="n">
        <v>9916</v>
      </c>
    </row>
    <row r="11">
      <c r="A11" s="5" t="inlineStr">
        <is>
          <t>Per level</t>
        </is>
      </c>
      <c r="B11" s="7" t="n">
        <v>3166.67</v>
      </c>
      <c r="C11" s="7" t="n">
        <v>991.6</v>
      </c>
    </row>
    <row r="12">
      <c r="A12" s="5" t="inlineStr">
        <is>
          <t>Per academic hour</t>
        </is>
      </c>
      <c r="B12" s="7" t="n">
        <v>15.83</v>
      </c>
      <c r="C12" s="7" t="n">
        <v>8.26</v>
      </c>
    </row>
    <row r="14">
      <c r="A14" s="5" t="inlineStr">
        <is>
          <t>Ten-year net tuition</t>
        </is>
      </c>
      <c r="B14" s="10" t="n">
        <v>84912545</v>
      </c>
      <c r="C14" s="10" t="n">
        <v>44315410</v>
      </c>
    </row>
    <row r="15">
      <c r="A15" s="5" t="inlineStr">
        <is>
          <t>Ten-year cost of delivery (unchanged)</t>
        </is>
      </c>
      <c r="B15" s="10" t="n">
        <v>64880256</v>
      </c>
      <c r="C15" s="10" t="n">
        <v>64880256</v>
      </c>
    </row>
    <row r="16">
      <c r="A16" s="5" t="inlineStr">
        <is>
          <t>Ten-year surplus</t>
        </is>
      </c>
      <c r="B16" s="15">
        <f>B14-B15</f>
        <v/>
      </c>
      <c r="C16" s="15">
        <f>C14-C15</f>
        <v/>
      </c>
    </row>
    <row r="18">
      <c r="A18" s="3" t="inlineStr">
        <is>
          <t>The cost of teaching does not fall because the price does. That is the whole finding, and it is arithmetic rather than opinion.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WorldWide English College — London Campus</t>
        </is>
      </c>
    </row>
    <row r="2">
      <c r="A2" s="2" t="inlineStr">
        <is>
          <t>17 Proposed tariff</t>
        </is>
      </c>
    </row>
    <row r="3">
      <c r="A3" s="3" t="inlineStr">
        <is>
          <t>PROPOSED / MODELLED. Not adopted. The published tariff remains $19,000.</t>
        </is>
      </c>
    </row>
    <row r="6" ht="30" customHeight="1">
      <c r="A6" s="4" t="inlineStr">
        <is>
          <t>Code</t>
        </is>
      </c>
      <c r="B6" s="4" t="inlineStr">
        <is>
          <t>CEFR</t>
        </is>
      </c>
      <c r="C6" s="4" t="inlineStr">
        <is>
          <t>Qualification</t>
        </is>
      </c>
      <c r="D6" s="4" t="inlineStr">
        <is>
          <t>Directed</t>
        </is>
      </c>
      <c r="E6" s="4" t="inlineStr">
        <is>
          <t>Tutored</t>
        </is>
      </c>
      <c r="F6" s="4" t="inlineStr">
        <is>
          <t>Exec Core</t>
        </is>
      </c>
      <c r="G6" s="4" t="inlineStr">
        <is>
          <t>Exec Premium</t>
        </is>
      </c>
      <c r="H6" s="4" t="inlineStr">
        <is>
          <t>Exec Bespoke</t>
        </is>
      </c>
    </row>
    <row r="7">
      <c r="A7" s="5" t="inlineStr">
        <is>
          <t>ECIC</t>
        </is>
      </c>
      <c r="B7" s="6" t="inlineStr">
        <is>
          <t>A1</t>
        </is>
      </c>
      <c r="C7" s="6" t="inlineStr">
        <is>
          <t>English Communication Introductory Certificate</t>
        </is>
      </c>
      <c r="D7" s="10" t="n">
        <v>2100</v>
      </c>
      <c r="E7" s="10" t="n">
        <v>3100</v>
      </c>
      <c r="F7" s="10" t="n">
        <v>5450</v>
      </c>
      <c r="G7" s="10" t="n">
        <v>8800</v>
      </c>
      <c r="H7" s="10" t="n">
        <v>16050</v>
      </c>
    </row>
    <row r="8">
      <c r="A8" s="5" t="inlineStr">
        <is>
          <t>HCIC</t>
        </is>
      </c>
      <c r="B8" s="6" t="inlineStr">
        <is>
          <t>A2</t>
        </is>
      </c>
      <c r="C8" s="6" t="inlineStr">
        <is>
          <t>Higher Communication Introductory Certificate</t>
        </is>
      </c>
      <c r="D8" s="10" t="n">
        <v>2300</v>
      </c>
      <c r="E8" s="10" t="n">
        <v>3500</v>
      </c>
      <c r="F8" s="10" t="n">
        <v>6250</v>
      </c>
      <c r="G8" s="10" t="n">
        <v>10150</v>
      </c>
      <c r="H8" s="10" t="n">
        <v>17850</v>
      </c>
    </row>
    <row r="9">
      <c r="A9" s="5" t="inlineStr">
        <is>
          <t>CAEC</t>
        </is>
      </c>
      <c r="B9" s="6" t="inlineStr">
        <is>
          <t>B1</t>
        </is>
      </c>
      <c r="C9" s="6" t="inlineStr">
        <is>
          <t>Certificate in Applied English Communication</t>
        </is>
      </c>
      <c r="D9" s="10" t="n">
        <v>2550</v>
      </c>
      <c r="E9" s="10" t="n">
        <v>4050</v>
      </c>
      <c r="F9" s="10" t="n">
        <v>7300</v>
      </c>
      <c r="G9" s="10" t="n">
        <v>11900</v>
      </c>
      <c r="H9" s="10" t="n">
        <v>20250</v>
      </c>
    </row>
    <row r="10">
      <c r="A10" s="5" t="inlineStr">
        <is>
          <t>HCAEC</t>
        </is>
      </c>
      <c r="B10" s="6" t="inlineStr">
        <is>
          <t>B2</t>
        </is>
      </c>
      <c r="C10" s="6" t="inlineStr">
        <is>
          <t>Higher Certificate in Applied English Communication</t>
        </is>
      </c>
      <c r="D10" s="10" t="n">
        <v>2900</v>
      </c>
      <c r="E10" s="10" t="n">
        <v>4750</v>
      </c>
      <c r="F10" s="10" t="n">
        <v>8550</v>
      </c>
      <c r="G10" s="10" t="n">
        <v>14050</v>
      </c>
      <c r="H10" s="10" t="n">
        <v>23150</v>
      </c>
    </row>
    <row r="11">
      <c r="A11" s="5" t="inlineStr">
        <is>
          <t>ACEC</t>
        </is>
      </c>
      <c r="B11" s="6" t="inlineStr">
        <is>
          <t>C1</t>
        </is>
      </c>
      <c r="C11" s="6" t="inlineStr">
        <is>
          <t>Advanced Certificate in English Communication</t>
        </is>
      </c>
      <c r="D11" s="10" t="n">
        <v>3350</v>
      </c>
      <c r="E11" s="10" t="n">
        <v>5700</v>
      </c>
      <c r="F11" s="10" t="n">
        <v>10350</v>
      </c>
      <c r="G11" s="10" t="n">
        <v>17150</v>
      </c>
      <c r="H11" s="10" t="n">
        <v>27350</v>
      </c>
    </row>
    <row r="12">
      <c r="A12" s="5" t="inlineStr">
        <is>
          <t>WEPC</t>
        </is>
      </c>
      <c r="B12" s="6" t="inlineStr">
        <is>
          <t>C2</t>
        </is>
      </c>
      <c r="C12" s="6" t="inlineStr">
        <is>
          <t>WorldWide English Proficiency Certificate</t>
        </is>
      </c>
      <c r="D12" s="10" t="n">
        <v>3900</v>
      </c>
      <c r="E12" s="10" t="n">
        <v>6800</v>
      </c>
      <c r="F12" s="10" t="n">
        <v>12500</v>
      </c>
      <c r="G12" s="10" t="n">
        <v>20750</v>
      </c>
      <c r="H12" s="10" t="n">
        <v>32150</v>
      </c>
    </row>
    <row r="13">
      <c r="C13" s="5" t="inlineStr">
        <is>
          <t>COMPLETE A1–C2 PATHWAY</t>
        </is>
      </c>
      <c r="D13" s="15">
        <f>SUM(D7:D12)</f>
        <v/>
      </c>
      <c r="E13" s="15">
        <f>SUM(E7:E12)</f>
        <v/>
      </c>
      <c r="F13" s="15">
        <f>SUM(F7:F12)</f>
        <v/>
      </c>
      <c r="G13" s="15">
        <f>SUM(G7:G12)</f>
        <v/>
      </c>
      <c r="H13" s="15">
        <f>SUM(H7:H12)</f>
        <v/>
      </c>
    </row>
    <row r="14">
      <c r="C14" s="5" t="inlineStr">
        <is>
          <t>Per academic hour (1,200 hours)</t>
        </is>
      </c>
      <c r="D14" s="7">
        <f>D13/1200</f>
        <v/>
      </c>
      <c r="E14" s="7">
        <f>E13/1200</f>
        <v/>
      </c>
      <c r="F14" s="7">
        <f>F13/1200</f>
        <v/>
      </c>
      <c r="G14" s="7">
        <f>G13/1200</f>
        <v/>
      </c>
      <c r="H14" s="7">
        <f>H13/1200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WorldWide English College — London Campus</t>
        </is>
      </c>
    </row>
    <row r="2">
      <c r="A2" s="2" t="inlineStr">
        <is>
          <t>18 Architectures</t>
        </is>
      </c>
    </row>
    <row r="3">
      <c r="A3" s="3" t="inlineStr">
        <is>
          <t>Three architectures through one demand model, one cost model, one capacity gate.</t>
        </is>
      </c>
    </row>
    <row r="6" ht="30" customHeight="1">
      <c r="A6" s="4" t="inlineStr">
        <is>
          <t>Architecture</t>
        </is>
      </c>
      <c r="B6" s="4" t="inlineStr">
        <is>
          <t>Ten-year revenue</t>
        </is>
      </c>
      <c r="C6" s="4" t="inlineStr">
        <is>
          <t>Ten-year surplus</t>
        </is>
      </c>
      <c r="D6" s="4" t="inlineStr">
        <is>
          <t>Year-10 revenue</t>
        </is>
      </c>
      <c r="E6" s="4" t="inlineStr">
        <is>
          <t>Year-10 active</t>
        </is>
      </c>
      <c r="F6" s="4" t="inlineStr">
        <is>
          <t>Awards conferred</t>
        </is>
      </c>
      <c r="G6" s="4" t="inlineStr">
        <is>
          <t>Closing reserve</t>
        </is>
      </c>
    </row>
    <row r="7">
      <c r="A7" s="6" t="inlineStr">
        <is>
          <t>Brief A — $7,400 / $14,800</t>
        </is>
      </c>
      <c r="B7" s="10" t="n">
        <v>68180956</v>
      </c>
      <c r="C7" s="10" t="n">
        <v>-10139145</v>
      </c>
      <c r="D7" s="10" t="n">
        <v>20525019</v>
      </c>
      <c r="E7" s="8" t="n">
        <v>6910</v>
      </c>
      <c r="F7" s="8" t="n">
        <v>41025</v>
      </c>
      <c r="G7" s="10" t="n">
        <v>0</v>
      </c>
    </row>
    <row r="8">
      <c r="A8" s="6" t="inlineStr">
        <is>
          <t>Adopted flat $19,000</t>
        </is>
      </c>
      <c r="B8" s="10" t="n">
        <v>80452985</v>
      </c>
      <c r="C8" s="10" t="n">
        <v>8614498</v>
      </c>
      <c r="D8" s="10" t="n">
        <v>19851569</v>
      </c>
      <c r="E8" s="8" t="n">
        <v>4578</v>
      </c>
      <c r="F8" s="8" t="n">
        <v>34356</v>
      </c>
      <c r="G8" s="10" t="n">
        <v>5829352</v>
      </c>
    </row>
    <row r="9">
      <c r="A9" s="5" t="inlineStr">
        <is>
          <t>Proposed portfolio</t>
        </is>
      </c>
      <c r="B9" s="15" t="n">
        <v>95508176</v>
      </c>
      <c r="C9" s="15" t="n">
        <v>37432254</v>
      </c>
      <c r="D9" s="15" t="n">
        <v>17395110</v>
      </c>
      <c r="E9" s="11" t="n">
        <v>3851</v>
      </c>
      <c r="F9" s="11" t="n">
        <v>39164</v>
      </c>
      <c r="G9" s="15" t="n">
        <v>22593946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WorldWide English College — London Campus</t>
        </is>
      </c>
    </row>
    <row r="2">
      <c r="A2" s="2" t="inlineStr">
        <is>
          <t>19 Core Plan</t>
        </is>
      </c>
    </row>
    <row r="3">
      <c r="A3" s="3" t="inlineStr">
        <is>
          <t>Management's recommended execution case under the proposed architecture.</t>
        </is>
      </c>
    </row>
    <row r="6" ht="30" customHeight="1">
      <c r="A6" s="4" t="inlineStr">
        <is>
          <t>Year</t>
        </is>
      </c>
      <c r="B6" s="4" t="inlineStr">
        <is>
          <t>Calendar</t>
        </is>
      </c>
      <c r="C6" s="4" t="inlineStr">
        <is>
          <t>New learners</t>
        </is>
      </c>
      <c r="D6" s="4" t="inlineStr">
        <is>
          <t>Active</t>
        </is>
      </c>
      <c r="E6" s="4" t="inlineStr">
        <is>
          <t>Instructors</t>
        </is>
      </c>
      <c r="F6" s="4" t="inlineStr">
        <is>
          <t>Gross fees</t>
        </is>
      </c>
      <c r="G6" s="4" t="inlineStr">
        <is>
          <t>Refunds</t>
        </is>
      </c>
      <c r="H6" s="4" t="inlineStr">
        <is>
          <t>Net tuition</t>
        </is>
      </c>
      <c r="I6" s="4" t="inlineStr">
        <is>
          <t>Delivery</t>
        </is>
      </c>
      <c r="J6" s="4" t="inlineStr">
        <is>
          <t>Acquisition</t>
        </is>
      </c>
      <c r="K6" s="4" t="inlineStr">
        <is>
          <t>Fixed</t>
        </is>
      </c>
      <c r="L6" s="4" t="inlineStr">
        <is>
          <t>Development</t>
        </is>
      </c>
      <c r="M6" s="4" t="inlineStr">
        <is>
          <t>Surplus</t>
        </is>
      </c>
      <c r="N6" s="4" t="inlineStr">
        <is>
          <t>Margin</t>
        </is>
      </c>
      <c r="O6" s="4" t="inlineStr">
        <is>
          <t>Cumulative surplus</t>
        </is>
      </c>
    </row>
    <row r="7">
      <c r="A7" s="8" t="n">
        <v>1</v>
      </c>
      <c r="B7" s="8" t="n">
        <v>2027</v>
      </c>
      <c r="C7" s="8" t="n">
        <v>100</v>
      </c>
      <c r="D7" s="8" t="n">
        <v>100</v>
      </c>
      <c r="E7" s="8" t="n">
        <v>2</v>
      </c>
      <c r="F7" s="10" t="n">
        <v>362586</v>
      </c>
      <c r="G7" s="10" t="n">
        <v>7977</v>
      </c>
      <c r="H7" s="10">
        <f>F7-G7</f>
        <v/>
      </c>
      <c r="I7" s="10" t="n">
        <v>127139</v>
      </c>
      <c r="J7" s="10" t="n">
        <v>65714</v>
      </c>
      <c r="K7" s="10" t="n">
        <v>363820</v>
      </c>
      <c r="L7" s="10" t="n">
        <v>19504</v>
      </c>
      <c r="M7" s="15">
        <f>H7-I7-J7-K7-L7</f>
        <v/>
      </c>
      <c r="N7" s="9">
        <f>IF(F7=0,0,M7/F7)</f>
        <v/>
      </c>
      <c r="O7" s="15">
        <f>M7</f>
        <v/>
      </c>
    </row>
    <row r="8">
      <c r="A8" s="8" t="n">
        <v>2</v>
      </c>
      <c r="B8" s="8" t="n">
        <v>2028</v>
      </c>
      <c r="C8" s="8" t="n">
        <v>327</v>
      </c>
      <c r="D8" s="8" t="n">
        <v>354</v>
      </c>
      <c r="E8" s="8" t="n">
        <v>6</v>
      </c>
      <c r="F8" s="10" t="n">
        <v>1395861</v>
      </c>
      <c r="G8" s="10" t="n">
        <v>30709</v>
      </c>
      <c r="H8" s="10">
        <f>F8-G8</f>
        <v/>
      </c>
      <c r="I8" s="10" t="n">
        <v>488773</v>
      </c>
      <c r="J8" s="10" t="n">
        <v>215892</v>
      </c>
      <c r="K8" s="10" t="n">
        <v>588160</v>
      </c>
      <c r="L8" s="10" t="n">
        <v>75083</v>
      </c>
      <c r="M8" s="15">
        <f>H8-I8-J8-K8-L8</f>
        <v/>
      </c>
      <c r="N8" s="9">
        <f>IF(F8=0,0,M8/F8)</f>
        <v/>
      </c>
      <c r="O8" s="15">
        <f>O7+M8</f>
        <v/>
      </c>
    </row>
    <row r="9">
      <c r="A9" s="8" t="n">
        <v>3</v>
      </c>
      <c r="B9" s="8" t="n">
        <v>2029</v>
      </c>
      <c r="C9" s="8" t="n">
        <v>608</v>
      </c>
      <c r="D9" s="8" t="n">
        <v>694</v>
      </c>
      <c r="E9" s="8" t="n">
        <v>12</v>
      </c>
      <c r="F9" s="10" t="n">
        <v>2888367</v>
      </c>
      <c r="G9" s="10" t="n">
        <v>63544</v>
      </c>
      <c r="H9" s="10">
        <f>F9-G9</f>
        <v/>
      </c>
      <c r="I9" s="10" t="n">
        <v>1010561</v>
      </c>
      <c r="J9" s="10" t="n">
        <v>401627</v>
      </c>
      <c r="K9" s="10" t="n">
        <v>588160</v>
      </c>
      <c r="L9" s="10" t="n">
        <v>155365</v>
      </c>
      <c r="M9" s="15">
        <f>H9-I9-J9-K9-L9</f>
        <v/>
      </c>
      <c r="N9" s="9">
        <f>IF(F9=0,0,M9/F9)</f>
        <v/>
      </c>
      <c r="O9" s="15">
        <f>O8+M9</f>
        <v/>
      </c>
    </row>
    <row r="10">
      <c r="A10" s="8" t="n">
        <v>4</v>
      </c>
      <c r="B10" s="8" t="n">
        <v>2030</v>
      </c>
      <c r="C10" s="8" t="n">
        <v>991</v>
      </c>
      <c r="D10" s="8" t="n">
        <v>1150</v>
      </c>
      <c r="E10" s="8" t="n">
        <v>20</v>
      </c>
      <c r="F10" s="10" t="n">
        <v>4861491</v>
      </c>
      <c r="G10" s="10" t="n">
        <v>106953</v>
      </c>
      <c r="H10" s="10">
        <f>F10-G10</f>
        <v/>
      </c>
      <c r="I10" s="10" t="n">
        <v>1700507</v>
      </c>
      <c r="J10" s="10" t="n">
        <v>654400</v>
      </c>
      <c r="K10" s="10" t="n">
        <v>588160</v>
      </c>
      <c r="L10" s="10" t="n">
        <v>261500</v>
      </c>
      <c r="M10" s="15">
        <f>H10-I10-J10-K10-L10</f>
        <v/>
      </c>
      <c r="N10" s="9">
        <f>IF(F10=0,0,M10/F10)</f>
        <v/>
      </c>
      <c r="O10" s="15">
        <f>O9+M10</f>
        <v/>
      </c>
    </row>
    <row r="11">
      <c r="A11" s="8" t="n">
        <v>5</v>
      </c>
      <c r="B11" s="8" t="n">
        <v>2031</v>
      </c>
      <c r="C11" s="8" t="n">
        <v>1519</v>
      </c>
      <c r="D11" s="8" t="n">
        <v>1778</v>
      </c>
      <c r="E11" s="8" t="n">
        <v>31</v>
      </c>
      <c r="F11" s="10" t="n">
        <v>7571839</v>
      </c>
      <c r="G11" s="10" t="n">
        <v>166580</v>
      </c>
      <c r="H11" s="10">
        <f>F11-G11</f>
        <v/>
      </c>
      <c r="I11" s="10" t="n">
        <v>2648264</v>
      </c>
      <c r="J11" s="10" t="n">
        <v>1002947</v>
      </c>
      <c r="K11" s="10" t="n">
        <v>588160</v>
      </c>
      <c r="L11" s="10" t="n">
        <v>407289</v>
      </c>
      <c r="M11" s="15">
        <f>H11-I11-J11-K11-L11</f>
        <v/>
      </c>
      <c r="N11" s="9">
        <f>IF(F11=0,0,M11/F11)</f>
        <v/>
      </c>
      <c r="O11" s="15">
        <f>O10+M11</f>
        <v/>
      </c>
    </row>
    <row r="12">
      <c r="A12" s="8" t="n">
        <v>6</v>
      </c>
      <c r="B12" s="8" t="n">
        <v>2032</v>
      </c>
      <c r="C12" s="8" t="n">
        <v>2298</v>
      </c>
      <c r="D12" s="8" t="n">
        <v>2695</v>
      </c>
      <c r="E12" s="8" t="n">
        <v>47</v>
      </c>
      <c r="F12" s="10" t="n">
        <v>11492168</v>
      </c>
      <c r="G12" s="10" t="n">
        <v>252828</v>
      </c>
      <c r="H12" s="10">
        <f>F12-G12</f>
        <v/>
      </c>
      <c r="I12" s="10" t="n">
        <v>4019306</v>
      </c>
      <c r="J12" s="10" t="n">
        <v>1516732</v>
      </c>
      <c r="K12" s="10" t="n">
        <v>588160</v>
      </c>
      <c r="L12" s="10" t="n">
        <v>618164</v>
      </c>
      <c r="M12" s="15">
        <f>H12-I12-J12-K12-L12</f>
        <v/>
      </c>
      <c r="N12" s="9">
        <f>IF(F12=0,0,M12/F12)</f>
        <v/>
      </c>
      <c r="O12" s="15">
        <f>O11+M12</f>
        <v/>
      </c>
    </row>
    <row r="13">
      <c r="A13" s="8" t="n">
        <v>7</v>
      </c>
      <c r="B13" s="8" t="n">
        <v>2033</v>
      </c>
      <c r="C13" s="8" t="n">
        <v>2862</v>
      </c>
      <c r="D13" s="8" t="n">
        <v>3463</v>
      </c>
      <c r="E13" s="8" t="n">
        <v>61</v>
      </c>
      <c r="F13" s="10" t="n">
        <v>15144567</v>
      </c>
      <c r="G13" s="10" t="n">
        <v>333180</v>
      </c>
      <c r="H13" s="10">
        <f>F13-G13</f>
        <v/>
      </c>
      <c r="I13" s="10" t="n">
        <v>5294691</v>
      </c>
      <c r="J13" s="10" t="n">
        <v>1888697</v>
      </c>
      <c r="K13" s="10" t="n">
        <v>588160</v>
      </c>
      <c r="L13" s="10" t="n">
        <v>814626</v>
      </c>
      <c r="M13" s="15">
        <f>H13-I13-J13-K13-L13</f>
        <v/>
      </c>
      <c r="N13" s="9">
        <f>IF(F13=0,0,M13/F13)</f>
        <v/>
      </c>
      <c r="O13" s="15">
        <f>O12+M13</f>
        <v/>
      </c>
    </row>
    <row r="14">
      <c r="A14" s="8" t="n">
        <v>8</v>
      </c>
      <c r="B14" s="8" t="n">
        <v>2034</v>
      </c>
      <c r="C14" s="8" t="n">
        <v>3053</v>
      </c>
      <c r="D14" s="8" t="n">
        <v>3801</v>
      </c>
      <c r="E14" s="8" t="n">
        <v>68</v>
      </c>
      <c r="F14" s="10" t="n">
        <v>17001077</v>
      </c>
      <c r="G14" s="10" t="n">
        <v>374024</v>
      </c>
      <c r="H14" s="10">
        <f>F14-G14</f>
        <v/>
      </c>
      <c r="I14" s="10" t="n">
        <v>5941820</v>
      </c>
      <c r="J14" s="10" t="n">
        <v>2015225</v>
      </c>
      <c r="K14" s="10" t="n">
        <v>588160</v>
      </c>
      <c r="L14" s="10" t="n">
        <v>914488</v>
      </c>
      <c r="M14" s="15">
        <f>H14-I14-J14-K14-L14</f>
        <v/>
      </c>
      <c r="N14" s="9">
        <f>IF(F14=0,0,M14/F14)</f>
        <v/>
      </c>
      <c r="O14" s="15">
        <f>O13+M14</f>
        <v/>
      </c>
    </row>
    <row r="15">
      <c r="A15" s="8" t="n">
        <v>9</v>
      </c>
      <c r="B15" s="8" t="n">
        <v>2035</v>
      </c>
      <c r="C15" s="8" t="n">
        <v>3053</v>
      </c>
      <c r="D15" s="8" t="n">
        <v>3851</v>
      </c>
      <c r="E15" s="8" t="n">
        <v>69</v>
      </c>
      <c r="F15" s="10" t="n">
        <v>17395110</v>
      </c>
      <c r="G15" s="10" t="n">
        <v>382692</v>
      </c>
      <c r="H15" s="10">
        <f>F15-G15</f>
        <v/>
      </c>
      <c r="I15" s="10" t="n">
        <v>6078677</v>
      </c>
      <c r="J15" s="10" t="n">
        <v>2015225</v>
      </c>
      <c r="K15" s="10" t="n">
        <v>588160</v>
      </c>
      <c r="L15" s="10" t="n">
        <v>935683</v>
      </c>
      <c r="M15" s="15">
        <f>H15-I15-J15-K15-L15</f>
        <v/>
      </c>
      <c r="N15" s="9">
        <f>IF(F15=0,0,M15/F15)</f>
        <v/>
      </c>
      <c r="O15" s="15">
        <f>O14+M15</f>
        <v/>
      </c>
    </row>
    <row r="16">
      <c r="A16" s="8" t="n">
        <v>10</v>
      </c>
      <c r="B16" s="8" t="n">
        <v>2036</v>
      </c>
      <c r="C16" s="8" t="n">
        <v>3053</v>
      </c>
      <c r="D16" s="8" t="n">
        <v>3851</v>
      </c>
      <c r="E16" s="8" t="n">
        <v>69</v>
      </c>
      <c r="F16" s="10" t="n">
        <v>17395110</v>
      </c>
      <c r="G16" s="10" t="n">
        <v>382692</v>
      </c>
      <c r="H16" s="10">
        <f>F16-G16</f>
        <v/>
      </c>
      <c r="I16" s="10" t="n">
        <v>6078677</v>
      </c>
      <c r="J16" s="10" t="n">
        <v>2015225</v>
      </c>
      <c r="K16" s="10" t="n">
        <v>588160</v>
      </c>
      <c r="L16" s="10" t="n">
        <v>935683</v>
      </c>
      <c r="M16" s="15">
        <f>H16-I16-J16-K16-L16</f>
        <v/>
      </c>
      <c r="N16" s="9">
        <f>IF(F16=0,0,M16/F16)</f>
        <v/>
      </c>
      <c r="O16" s="15">
        <f>O15+M16</f>
        <v/>
      </c>
    </row>
    <row r="17">
      <c r="B17" s="5" t="inlineStr">
        <is>
          <t>TEN YEARS</t>
        </is>
      </c>
      <c r="F17" s="15">
        <f>SUM(F7:F16)</f>
        <v/>
      </c>
      <c r="G17" s="15">
        <f>SUM(G7:G16)</f>
        <v/>
      </c>
      <c r="H17" s="15">
        <f>SUM(H7:H16)</f>
        <v/>
      </c>
      <c r="I17" s="15">
        <f>SUM(I7:I16)</f>
        <v/>
      </c>
      <c r="J17" s="15">
        <f>SUM(J7:J16)</f>
        <v/>
      </c>
      <c r="K17" s="15">
        <f>SUM(K7:K16)</f>
        <v/>
      </c>
      <c r="L17" s="15">
        <f>SUM(L7:L16)</f>
        <v/>
      </c>
      <c r="M17" s="15">
        <f>SUM(M7:M16)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WorldWide English College — London Campus</t>
        </is>
      </c>
    </row>
    <row r="2">
      <c r="A2" s="2" t="inlineStr">
        <is>
          <t>20 Price scenarios</t>
        </is>
      </c>
    </row>
    <row r="3">
      <c r="A3" s="3" t="inlineStr">
        <is>
          <t>Conservative is not a haircut on Core: weaker continuation, narrower reach, dearer acquisition.</t>
        </is>
      </c>
    </row>
    <row r="6" ht="30" customHeight="1">
      <c r="A6" s="4" t="inlineStr">
        <is>
          <t>Scenario</t>
        </is>
      </c>
      <c r="B6" s="4" t="inlineStr">
        <is>
          <t>Ten-year revenue</t>
        </is>
      </c>
      <c r="C6" s="4" t="inlineStr">
        <is>
          <t>Ten-year surplus</t>
        </is>
      </c>
      <c r="D6" s="4" t="inlineStr">
        <is>
          <t>Year-10 revenue</t>
        </is>
      </c>
      <c r="E6" s="4" t="inlineStr">
        <is>
          <t>Year-10 new</t>
        </is>
      </c>
      <c r="F6" s="4" t="inlineStr">
        <is>
          <t>Year-10 active</t>
        </is>
      </c>
      <c r="G6" s="4" t="inlineStr">
        <is>
          <t>Awards</t>
        </is>
      </c>
    </row>
    <row r="7">
      <c r="A7" s="6" t="inlineStr">
        <is>
          <t>Conservative</t>
        </is>
      </c>
      <c r="B7" s="10" t="n">
        <v>58985611</v>
      </c>
      <c r="C7" s="10" t="n">
        <v>16920257</v>
      </c>
      <c r="D7" s="10" t="n">
        <v>10280653</v>
      </c>
      <c r="E7" s="8" t="n">
        <v>2259</v>
      </c>
      <c r="F7" s="8" t="n">
        <v>2661</v>
      </c>
      <c r="G7" s="8" t="n">
        <v>25343</v>
      </c>
    </row>
    <row r="8">
      <c r="A8" s="5" t="inlineStr">
        <is>
          <t>Core Management Plan</t>
        </is>
      </c>
      <c r="B8" s="15" t="n">
        <v>95508176</v>
      </c>
      <c r="C8" s="15" t="n">
        <v>37432254</v>
      </c>
      <c r="D8" s="15" t="n">
        <v>17395110</v>
      </c>
      <c r="E8" s="11" t="n">
        <v>3053</v>
      </c>
      <c r="F8" s="11" t="n">
        <v>3851</v>
      </c>
      <c r="G8" s="11" t="n">
        <v>39164</v>
      </c>
    </row>
    <row r="9">
      <c r="A9" s="6" t="inlineStr">
        <is>
          <t>High Growth</t>
        </is>
      </c>
      <c r="B9" s="10" t="n">
        <v>124374155</v>
      </c>
      <c r="C9" s="10" t="n">
        <v>54132195</v>
      </c>
      <c r="D9" s="10" t="n">
        <v>23121960</v>
      </c>
      <c r="E9" s="8" t="n">
        <v>3594</v>
      </c>
      <c r="F9" s="8" t="n">
        <v>4811</v>
      </c>
      <c r="G9" s="8" t="n">
        <v>51003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6" customWidth="1" min="7" max="7"/>
    <col width="12" customWidth="1" min="8" max="8"/>
    <col width="62" customWidth="1" min="9" max="9"/>
  </cols>
  <sheetData>
    <row r="1">
      <c r="A1" s="1" t="inlineStr">
        <is>
          <t>WorldWide English College — London Campus</t>
        </is>
      </c>
    </row>
    <row r="2">
      <c r="A2" s="2" t="inlineStr">
        <is>
          <t>21 Market evidence</t>
        </is>
      </c>
    </row>
    <row r="3">
      <c r="A3" s="3" t="inlineStr">
        <is>
          <t>Published prices, converted. Gathered 2026-09-19. USD conversions use approximate mid-market rates at the research date: SAR 3.75, AED 3.67, GBP 0.79, NGN 1540. Local-currency figures are authoritative; USD is indicative.</t>
        </is>
      </c>
    </row>
    <row r="6" ht="30" customHeight="1">
      <c r="A6" s="4" t="inlineStr">
        <is>
          <t>Market</t>
        </is>
      </c>
      <c r="B6" s="4" t="inlineStr">
        <is>
          <t>Provider</t>
        </is>
      </c>
      <c r="C6" s="4" t="inlineStr">
        <is>
          <t>What it buys</t>
        </is>
      </c>
      <c r="D6" s="4" t="inlineStr">
        <is>
          <t>Local price</t>
        </is>
      </c>
      <c r="E6" s="4" t="inlineStr">
        <is>
          <t>USD</t>
        </is>
      </c>
      <c r="F6" s="4" t="inlineStr">
        <is>
          <t>Hours</t>
        </is>
      </c>
      <c r="G6" s="4" t="inlineStr">
        <is>
          <t>Per contact hour</t>
        </is>
      </c>
      <c r="H6" s="4" t="inlineStr">
        <is>
          <t>Confidence</t>
        </is>
      </c>
      <c r="I6" s="4" t="inlineStr">
        <is>
          <t>Source</t>
        </is>
      </c>
    </row>
    <row r="7">
      <c r="A7" s="5" t="inlineStr">
        <is>
          <t>Saudi Arabia and the Gulf</t>
        </is>
      </c>
      <c r="B7" s="6" t="inlineStr">
        <is>
          <t>British Council Saudi Arabia</t>
        </is>
      </c>
      <c r="C7" s="6" t="inlineStr">
        <is>
          <t>Adult English, modular. 5 levels A2–C1. Module = 6 lessons of 90 minutes.</t>
        </is>
      </c>
      <c r="D7" s="6" t="inlineStr">
        <is>
          <t>SAR 7,992.50 incl. VAT</t>
        </is>
      </c>
      <c r="E7" s="10" t="n">
        <v>2131</v>
      </c>
      <c r="F7" s="8" t="n">
        <v>90</v>
      </c>
      <c r="G7" s="7" t="n">
        <v>20.53</v>
      </c>
      <c r="H7" s="6" t="inlineStr">
        <is>
          <t>high</t>
        </is>
      </c>
      <c r="I7" s="6" t="inlineStr">
        <is>
          <t>https://saudiarabia.britishcouncil.org/en/english/courses-adults/classes/programmes-pricing</t>
        </is>
      </c>
    </row>
    <row r="8">
      <c r="A8" s="6" t="inlineStr"/>
      <c r="B8" s="6" t="inlineStr">
        <is>
          <t>British Council Saudi Arabia</t>
        </is>
      </c>
      <c r="C8" s="6" t="inlineStr">
        <is>
          <t>Adult English, 40 credits</t>
        </is>
      </c>
      <c r="D8" s="6" t="inlineStr">
        <is>
          <t>SAR 6,037.50 incl. VAT</t>
        </is>
      </c>
      <c r="E8" s="10" t="n">
        <v>1610</v>
      </c>
      <c r="F8" s="8" t="n">
        <v>60</v>
      </c>
      <c r="G8" s="6" t="n"/>
      <c r="H8" s="6" t="inlineStr">
        <is>
          <t>high</t>
        </is>
      </c>
      <c r="I8" s="6" t="inlineStr">
        <is>
          <t>https://saudiarabia.britishcouncil.org/en/english/courses-adults/classes/programmes-pricing</t>
        </is>
      </c>
    </row>
    <row r="9">
      <c r="A9" s="6" t="inlineStr"/>
      <c r="B9" s="6" t="inlineStr">
        <is>
          <t>British Council Saudi Arabia</t>
        </is>
      </c>
      <c r="C9" s="6" t="inlineStr">
        <is>
          <t>Adult English, 20 credits</t>
        </is>
      </c>
      <c r="D9" s="6" t="inlineStr">
        <is>
          <t>SAR 3,795 incl. VAT</t>
        </is>
      </c>
      <c r="E9" s="10" t="n">
        <v>1012</v>
      </c>
      <c r="F9" s="8" t="n">
        <v>30</v>
      </c>
      <c r="G9" s="6" t="n"/>
      <c r="H9" s="6" t="inlineStr">
        <is>
          <t>high</t>
        </is>
      </c>
      <c r="I9" s="6" t="inlineStr">
        <is>
          <t>https://saudiarabia.britishcouncil.org/en/english/courses-adults/classes/programmes-pricing</t>
        </is>
      </c>
    </row>
    <row r="10">
      <c r="A10" s="6" t="inlineStr"/>
      <c r="B10" s="6" t="inlineStr">
        <is>
          <t>British Council Saudi Arabia</t>
        </is>
      </c>
      <c r="C10" s="6" t="inlineStr">
        <is>
          <t>IELTS test fee (Academic / General Training)</t>
        </is>
      </c>
      <c r="D10" s="6" t="inlineStr">
        <is>
          <t>SAR 1,636 incl. VAT</t>
        </is>
      </c>
      <c r="E10" s="10" t="n">
        <v>436</v>
      </c>
      <c r="F10" s="6" t="inlineStr">
        <is>
          <t>—</t>
        </is>
      </c>
      <c r="G10" s="6" t="n"/>
      <c r="H10" s="6" t="inlineStr">
        <is>
          <t>medium</t>
        </is>
      </c>
      <c r="I10" s="6" t="inlineStr">
        <is>
          <t>https://ieltsbiz.com/ielts-fees/saudi-arabia</t>
        </is>
      </c>
    </row>
    <row r="11">
      <c r="A11" s="6" t="inlineStr"/>
      <c r="B11" s="6" t="inlineStr">
        <is>
          <t>British Council United Arab Emirates</t>
        </is>
      </c>
      <c r="C11" s="6" t="inlineStr">
        <is>
          <t>IELTS preparation course</t>
        </is>
      </c>
      <c r="D11" s="6" t="inlineStr">
        <is>
          <t>AED 2,950</t>
        </is>
      </c>
      <c r="E11" s="10" t="n">
        <v>804</v>
      </c>
      <c r="F11" s="8" t="n">
        <v>24</v>
      </c>
      <c r="G11" s="7" t="n">
        <v>33.5</v>
      </c>
      <c r="H11" s="6" t="inlineStr">
        <is>
          <t>medium</t>
        </is>
      </c>
      <c r="I11" s="6" t="inlineStr">
        <is>
          <t>https://www.britishcouncil.ae/en/english/adults/ielts-preparation</t>
        </is>
      </c>
    </row>
    <row r="12">
      <c r="A12" s="6" t="inlineStr"/>
      <c r="B12" s="6" t="inlineStr">
        <is>
          <t>Berlitz UAE</t>
        </is>
      </c>
      <c r="C12" s="6" t="inlineStr">
        <is>
          <t>English group classes (promotional)</t>
        </is>
      </c>
      <c r="D12" s="6" t="inlineStr">
        <is>
          <t>AED 2,900</t>
        </is>
      </c>
      <c r="E12" s="10" t="n">
        <v>790</v>
      </c>
      <c r="F12" s="6" t="inlineStr">
        <is>
          <t>—</t>
        </is>
      </c>
      <c r="G12" s="6" t="n"/>
      <c r="H12" s="6" t="inlineStr">
        <is>
          <t>medium</t>
        </is>
      </c>
      <c r="I12" s="6" t="inlineStr">
        <is>
          <t>https://www.berlitz.com/en-ae/blog/english-group-classes</t>
        </is>
      </c>
    </row>
    <row r="13">
      <c r="A13" s="6" t="inlineStr"/>
      <c r="B13" s="6" t="inlineStr">
        <is>
          <t>Dubai market survey</t>
        </is>
      </c>
      <c r="C13" s="6" t="inlineStr">
        <is>
          <t>Intensive English programmes, 2–3 months</t>
        </is>
      </c>
      <c r="D13" s="6" t="inlineStr">
        <is>
          <t>AED 4,000 – 8,000+</t>
        </is>
      </c>
      <c r="E13" s="6" t="inlineStr">
        <is>
          <t>1,090 – 2,180+</t>
        </is>
      </c>
      <c r="F13" s="6" t="inlineStr">
        <is>
          <t>—</t>
        </is>
      </c>
      <c r="G13" s="6" t="n"/>
      <c r="H13" s="6" t="inlineStr">
        <is>
          <t>low</t>
        </is>
      </c>
      <c r="I13" s="6" t="inlineStr">
        <is>
          <t>https://expressenglish.ae/english-course-fees-dubai-complete-price-guide/</t>
        </is>
      </c>
    </row>
    <row r="14">
      <c r="A14" s="6" t="inlineStr"/>
      <c r="B14" s="6" t="inlineStr">
        <is>
          <t>Wall Street English Saudi Arabia</t>
        </is>
      </c>
      <c r="C14" s="6" t="inlineStr">
        <is>
          <t>English course packages</t>
        </is>
      </c>
      <c r="D14" s="6" t="inlineStr">
        <is>
          <t>NOT PUBLISHED</t>
        </is>
      </c>
      <c r="E14" s="6" t="n"/>
      <c r="F14" s="6" t="inlineStr">
        <is>
          <t>—</t>
        </is>
      </c>
      <c r="G14" s="6" t="n"/>
      <c r="H14" s="6" t="inlineStr">
        <is>
          <t>n/a</t>
        </is>
      </c>
      <c r="I14" s="6" t="inlineStr">
        <is>
          <t>https://wallstreetenglish.edu.sa/en/prices</t>
        </is>
      </c>
    </row>
    <row r="15">
      <c r="A15" s="5" t="inlineStr">
        <is>
          <t>Nigeria and West Africa</t>
        </is>
      </c>
      <c r="B15" s="6" t="inlineStr">
        <is>
          <t>PEI Centre, Lagos</t>
        </is>
      </c>
      <c r="C15" s="6" t="inlineStr">
        <is>
          <t>IELTS training, monthly</t>
        </is>
      </c>
      <c r="D15" s="6" t="inlineStr">
        <is>
          <t>NGN 75,000 per month</t>
        </is>
      </c>
      <c r="E15" s="10" t="n">
        <v>49</v>
      </c>
      <c r="F15" s="6" t="inlineStr">
        <is>
          <t>—</t>
        </is>
      </c>
      <c r="G15" s="6" t="n"/>
      <c r="H15" s="6" t="inlineStr">
        <is>
          <t>high</t>
        </is>
      </c>
      <c r="I15" s="6" t="inlineStr">
        <is>
          <t>https://peicentre.com/ielts-training-fees/</t>
        </is>
      </c>
    </row>
    <row r="16">
      <c r="A16" s="6" t="inlineStr"/>
      <c r="B16" s="6" t="inlineStr">
        <is>
          <t>British Council Nigeria / IDP</t>
        </is>
      </c>
      <c r="C16" s="6" t="inlineStr">
        <is>
          <t>IELTS test fee</t>
        </is>
      </c>
      <c r="D16" s="6" t="inlineStr">
        <is>
          <t>NGN 279,500 – 299,000</t>
        </is>
      </c>
      <c r="E16" s="6" t="inlineStr">
        <is>
          <t>181 – 194</t>
        </is>
      </c>
      <c r="F16" s="6" t="inlineStr">
        <is>
          <t>—</t>
        </is>
      </c>
      <c r="G16" s="6" t="n"/>
      <c r="H16" s="6" t="inlineStr">
        <is>
          <t>medium</t>
        </is>
      </c>
      <c r="I16" s="6" t="inlineStr">
        <is>
          <t>https://studyabroadly.com/updated-ielts-fees-in-nigeria-and-registration/</t>
        </is>
      </c>
    </row>
    <row r="17">
      <c r="A17" s="6" t="inlineStr"/>
      <c r="B17" s="6" t="inlineStr">
        <is>
          <t>Nigeria market aggregate</t>
        </is>
      </c>
      <c r="C17" s="6" t="inlineStr">
        <is>
          <t>IELTS and English course fees, full range</t>
        </is>
      </c>
      <c r="D17" s="6" t="inlineStr">
        <is>
          <t>NGN 1,000 – 2,798,000</t>
        </is>
      </c>
      <c r="E17" s="6" t="inlineStr">
        <is>
          <t>0.65 – 1,817</t>
        </is>
      </c>
      <c r="F17" s="6" t="inlineStr">
        <is>
          <t>—</t>
        </is>
      </c>
      <c r="G17" s="6" t="n"/>
      <c r="H17" s="6" t="inlineStr">
        <is>
          <t>low</t>
        </is>
      </c>
      <c r="I17" s="6" t="inlineStr">
        <is>
          <t>https://courses.laimoon.com/nigeria/languages/english/ielts/fees</t>
        </is>
      </c>
    </row>
    <row r="18">
      <c r="A18" s="5" t="inlineStr">
        <is>
          <t>United Kingdom and Europe</t>
        </is>
      </c>
      <c r="B18" s="6" t="inlineStr">
        <is>
          <t>University of Sheffield ELTC</t>
        </is>
      </c>
      <c r="C18" s="6" t="inlineStr">
        <is>
          <t>Pre-sessional English</t>
        </is>
      </c>
      <c r="D18" s="6" t="inlineStr">
        <is>
          <t>GBP 525 per week</t>
        </is>
      </c>
      <c r="E18" s="10" t="n">
        <v>665</v>
      </c>
      <c r="F18" s="6" t="inlineStr">
        <is>
          <t>—</t>
        </is>
      </c>
      <c r="G18" s="6" t="n"/>
      <c r="H18" s="6" t="inlineStr">
        <is>
          <t>high</t>
        </is>
      </c>
      <c r="I18" s="6" t="inlineStr">
        <is>
          <t>https://sheffield.ac.uk/eltc/full-time/pre-sessional</t>
        </is>
      </c>
    </row>
    <row r="19">
      <c r="A19" s="6" t="inlineStr"/>
      <c r="B19" s="6" t="inlineStr">
        <is>
          <t>University of Chester</t>
        </is>
      </c>
      <c r="C19" s="6" t="inlineStr">
        <is>
          <t>Pre-sessional English, 13 weeks</t>
        </is>
      </c>
      <c r="D19" s="6" t="inlineStr">
        <is>
          <t>GBP 3,350</t>
        </is>
      </c>
      <c r="E19" s="10" t="n">
        <v>4241</v>
      </c>
      <c r="F19" s="6" t="inlineStr">
        <is>
          <t>—</t>
        </is>
      </c>
      <c r="G19" s="6" t="n"/>
      <c r="H19" s="6" t="inlineStr">
        <is>
          <t>high</t>
        </is>
      </c>
      <c r="I19" s="6" t="inlineStr">
        <is>
          <t>https://www.chester.ac.uk/international/pre-sessional-english-language-courses/</t>
        </is>
      </c>
    </row>
    <row r="20">
      <c r="A20" s="6" t="inlineStr"/>
      <c r="B20" s="6" t="inlineStr">
        <is>
          <t>University of Chester</t>
        </is>
      </c>
      <c r="C20" s="6" t="inlineStr">
        <is>
          <t>Pre-sessional English, 9 weeks</t>
        </is>
      </c>
      <c r="D20" s="6" t="inlineStr">
        <is>
          <t>GBP 2,600</t>
        </is>
      </c>
      <c r="E20" s="10" t="n">
        <v>3291</v>
      </c>
      <c r="F20" s="6" t="inlineStr">
        <is>
          <t>—</t>
        </is>
      </c>
      <c r="G20" s="6" t="n"/>
      <c r="H20" s="6" t="inlineStr">
        <is>
          <t>high</t>
        </is>
      </c>
      <c r="I20" s="6" t="inlineStr">
        <is>
          <t>https://www.chester.ac.uk/international/pre-sessional-english-language-courses/</t>
        </is>
      </c>
    </row>
    <row r="21">
      <c r="A21" s="6" t="inlineStr"/>
      <c r="B21" s="6" t="inlineStr">
        <is>
          <t>University of Oxford Language Centre</t>
        </is>
      </c>
      <c r="C21" s="6" t="inlineStr">
        <is>
          <t>Pre-sessional Academic English, 6 weeks</t>
        </is>
      </c>
      <c r="D21" s="6" t="inlineStr">
        <is>
          <t>GBP 3,250</t>
        </is>
      </c>
      <c r="E21" s="10" t="n">
        <v>4114</v>
      </c>
      <c r="F21" s="6" t="inlineStr">
        <is>
          <t>—</t>
        </is>
      </c>
      <c r="G21" s="6" t="n"/>
      <c r="H21" s="6" t="inlineStr">
        <is>
          <t>high</t>
        </is>
      </c>
      <c r="I21" s="6" t="inlineStr">
        <is>
          <t>https://www.lang.ox.ac.uk/summer-presessional-english-course</t>
        </is>
      </c>
    </row>
    <row r="22">
      <c r="A22" s="6" t="inlineStr"/>
      <c r="B22" s="6" t="inlineStr">
        <is>
          <t>University of Stirling</t>
        </is>
      </c>
      <c r="C22" s="6" t="inlineStr">
        <is>
          <t>Pre-sessional English, 8 weeks, ONLINE</t>
        </is>
      </c>
      <c r="D22" s="6" t="inlineStr">
        <is>
          <t>GBP 5,150</t>
        </is>
      </c>
      <c r="E22" s="10" t="n">
        <v>6519</v>
      </c>
      <c r="F22" s="6" t="inlineStr">
        <is>
          <t>—</t>
        </is>
      </c>
      <c r="G22" s="6" t="n"/>
      <c r="H22" s="6" t="inlineStr">
        <is>
          <t>high</t>
        </is>
      </c>
      <c r="I22" s="6" t="inlineStr">
        <is>
          <t>https://www.stir.ac.uk/international/international-students/pre-sessional-english-language-courses/</t>
        </is>
      </c>
    </row>
    <row r="23">
      <c r="A23" s="5" t="inlineStr">
        <is>
          <t>Executive and corporate</t>
        </is>
      </c>
      <c r="B23" s="6" t="inlineStr">
        <is>
          <t>US corporate language training market</t>
        </is>
      </c>
      <c r="C23" s="6" t="inlineStr">
        <is>
          <t>Small group</t>
        </is>
      </c>
      <c r="D23" s="6" t="inlineStr">
        <is>
          <t>—</t>
        </is>
      </c>
      <c r="E23" s="6" t="inlineStr">
        <is>
          <t>15 – 35 per learner per session</t>
        </is>
      </c>
      <c r="F23" s="6" t="inlineStr">
        <is>
          <t>—</t>
        </is>
      </c>
      <c r="G23" s="6" t="n"/>
      <c r="H23" s="6" t="inlineStr">
        <is>
          <t>medium</t>
        </is>
      </c>
      <c r="I23" s="6" t="inlineStr">
        <is>
          <t>https://edlingo.com/resources/corporate-language-training-cost/</t>
        </is>
      </c>
    </row>
    <row r="25">
      <c r="A25" s="5" t="inlineStr">
        <is>
          <t>WHERE THE EVIDENCE DOES NOT EXIST</t>
        </is>
      </c>
    </row>
    <row r="26" ht="30" customHeight="1">
      <c r="A26" s="4" t="inlineStr">
        <is>
          <t>Market or question</t>
        </is>
      </c>
      <c r="B26" s="4" t="inlineStr">
        <is>
          <t>Status</t>
        </is>
      </c>
      <c r="C26" s="4" t="inlineStr">
        <is>
          <t>What the model does instead</t>
        </is>
      </c>
    </row>
    <row r="27">
      <c r="A27" s="5" t="inlineStr">
        <is>
          <t>Qatar, Kuwait, Bahrain, Oman</t>
        </is>
      </c>
      <c r="B27" s="6" t="inlineStr">
        <is>
          <t>MODELLED — INSUFFICIENT DIRECT MARKET EVIDENCE</t>
        </is>
      </c>
      <c r="C27" s="6" t="inlineStr">
        <is>
          <t>No published provider tariffs found. Modelled at Saudi/UAE levels, which is an assumption about four distinct markets and is marked as one.</t>
        </is>
      </c>
    </row>
    <row r="28">
      <c r="A28" s="5" t="inlineStr">
        <is>
          <t>Ghana and wider West Africa beyond Nigeria</t>
        </is>
      </c>
      <c r="B28" s="6" t="inlineStr">
        <is>
          <t>MODELLED — INSUFFICIENT DIRECT MARKET EVIDENCE</t>
        </is>
      </c>
      <c r="C28" s="6" t="inlineStr">
        <is>
          <t>Scaled from the segments that carry direct observations.</t>
        </is>
      </c>
    </row>
    <row r="29">
      <c r="A29" s="5" t="inlineStr">
        <is>
          <t>North America</t>
        </is>
      </c>
      <c r="B29" s="6" t="inlineStr">
        <is>
          <t>MODELLED — INSUFFICIENT DIRECT MARKET EVIDENCE</t>
        </is>
      </c>
      <c r="C29" s="6" t="inlineStr">
        <is>
          <t>Not a founding market in the roadmap; not researched in depth.</t>
        </is>
      </c>
    </row>
    <row r="30">
      <c r="A30" s="5" t="inlineStr">
        <is>
          <t>Asia and rest of world</t>
        </is>
      </c>
      <c r="B30" s="6" t="inlineStr">
        <is>
          <t>MODELLED — INSUFFICIENT DIRECT MARKET EVIDENCE</t>
        </is>
      </c>
      <c r="C30" s="6" t="inlineStr">
        <is>
          <t>Scaled from the segments that carry direct observations.</t>
        </is>
      </c>
    </row>
    <row r="31">
      <c r="A31" s="5" t="inlineStr">
        <is>
          <t>Willingness to pay for a MULTI-YEAR credentialed English pathway</t>
        </is>
      </c>
      <c r="B31" s="6" t="inlineStr">
        <is>
          <t>NO DIRECT COMPARABLE FOUND</t>
        </is>
      </c>
      <c r="C31" s="6" t="inlineStr">
        <is>
          <t>This is the honest centre of the problem. No provider found sells a six-level, 1,200-hour, credentialed A1–C2 pathway as one purchase. Every comparable is either a single level, a test preparation course, or a university pre-sessional. WEC-LC's product does not have a market price because the product is not on the market. The pathway prices below are therefore built UP from per-level comparables rather than read off a competitor.</t>
        </is>
      </c>
    </row>
    <row r="33">
      <c r="A33" s="3" t="inlineStr">
        <is>
          <t>Assumed against researched willingness to pay — the revision this plan rests on.</t>
        </is>
      </c>
    </row>
    <row r="34" ht="30" customHeight="1">
      <c r="A34" s="4" t="inlineStr">
        <is>
          <t>Segment</t>
        </is>
      </c>
      <c r="B34" s="4" t="inlineStr">
        <is>
          <t>Assumed</t>
        </is>
      </c>
      <c r="C34" s="4" t="inlineStr">
        <is>
          <t>Researched</t>
        </is>
      </c>
      <c r="D34" s="4" t="inlineStr">
        <is>
          <t>Change</t>
        </is>
      </c>
      <c r="E34" s="4" t="inlineStr">
        <is>
          <t>Elasticity</t>
        </is>
      </c>
      <c r="F34" s="4" t="inlineStr">
        <is>
          <t>Credibility floor</t>
        </is>
      </c>
      <c r="G34" s="4" t="inlineStr">
        <is>
          <t>Evidential confidence</t>
        </is>
      </c>
    </row>
    <row r="35">
      <c r="A35" s="5" t="inlineStr">
        <is>
          <t>Gulf executives and senior professionals</t>
        </is>
      </c>
      <c r="B35" s="10" t="n">
        <v>31000</v>
      </c>
      <c r="C35" s="10" t="n">
        <v>24000</v>
      </c>
      <c r="D35" s="13">
        <f>C35/B35-1</f>
        <v/>
      </c>
      <c r="E35" s="7" t="n">
        <v>-0.62</v>
      </c>
      <c r="F35" s="10" t="n">
        <v>11000</v>
      </c>
      <c r="G35" s="6" t="inlineStr">
        <is>
          <t>medium</t>
        </is>
      </c>
    </row>
    <row r="36">
      <c r="A36" s="5" t="inlineStr">
        <is>
          <t>Gulf professionals and graduate families</t>
        </is>
      </c>
      <c r="B36" s="10" t="n">
        <v>17500</v>
      </c>
      <c r="C36" s="10" t="n">
        <v>13000</v>
      </c>
      <c r="D36" s="13">
        <f>C36/B36-1</f>
        <v/>
      </c>
      <c r="E36" s="7" t="n">
        <v>-1.05</v>
      </c>
      <c r="F36" s="10" t="n">
        <v>5200</v>
      </c>
      <c r="G36" s="6" t="inlineStr">
        <is>
          <t>high</t>
        </is>
      </c>
    </row>
    <row r="37">
      <c r="A37" s="5" t="inlineStr">
        <is>
          <t>United Kingdom and Europe</t>
        </is>
      </c>
      <c r="B37" s="10" t="n">
        <v>19500</v>
      </c>
      <c r="C37" s="10" t="n">
        <v>15500</v>
      </c>
      <c r="D37" s="13">
        <f>C37/B37-1</f>
        <v/>
      </c>
      <c r="E37" s="7" t="n">
        <v>-0.9399999999999999</v>
      </c>
      <c r="F37" s="10" t="n">
        <v>6200</v>
      </c>
      <c r="G37" s="6" t="inlineStr">
        <is>
          <t>high</t>
        </is>
      </c>
    </row>
    <row r="38">
      <c r="A38" s="5" t="inlineStr">
        <is>
          <t>Nigeria and West Africa</t>
        </is>
      </c>
      <c r="B38" s="10" t="n">
        <v>6400</v>
      </c>
      <c r="C38" s="10" t="n">
        <v>2200</v>
      </c>
      <c r="D38" s="13">
        <f>C38/B38-1</f>
        <v/>
      </c>
      <c r="E38" s="7" t="n">
        <v>-1.62</v>
      </c>
      <c r="F38" s="10" t="n">
        <v>900</v>
      </c>
      <c r="G38" s="6" t="inlineStr">
        <is>
          <t>high</t>
        </is>
      </c>
    </row>
    <row r="39">
      <c r="A39" s="5" t="inlineStr">
        <is>
          <t>Asia and the rest of the world</t>
        </is>
      </c>
      <c r="B39" s="10" t="n">
        <v>9800</v>
      </c>
      <c r="C39" s="10" t="n">
        <v>5200</v>
      </c>
      <c r="D39" s="13">
        <f>C39/B39-1</f>
        <v/>
      </c>
      <c r="E39" s="7" t="n">
        <v>-1.28</v>
      </c>
      <c r="F39" s="10" t="n">
        <v>2100</v>
      </c>
      <c r="G39" s="6" t="inlineStr">
        <is>
          <t>modelled — insufficient direct market evidence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WorldWide English College — London Campus</t>
        </is>
      </c>
    </row>
    <row r="2">
      <c r="A2" s="2" t="inlineStr">
        <is>
          <t>22 Allocation framework</t>
        </is>
      </c>
    </row>
    <row r="3">
      <c r="A3" s="3" t="inlineStr">
        <is>
          <t>BOARD DECISION REQUIRED. Every figure below is a proposed governance target, not a historical result. The tariff is solved backwards from it.</t>
        </is>
      </c>
    </row>
    <row r="6" ht="30" customHeight="1">
      <c r="A6" s="4" t="inlineStr">
        <is>
          <t>Allocation</t>
        </is>
      </c>
      <c r="B6" s="4" t="inlineStr">
        <is>
          <t>Target</t>
        </is>
      </c>
      <c r="C6" s="4" t="inlineStr">
        <is>
          <t>At the proposed tariff</t>
        </is>
      </c>
      <c r="D6" s="4" t="inlineStr">
        <is>
          <t>Variance</t>
        </is>
      </c>
      <c r="E6" s="4" t="inlineStr">
        <is>
          <t>Definition</t>
        </is>
      </c>
    </row>
    <row r="7">
      <c r="A7" s="5" t="inlineStr">
        <is>
          <t>Payroll</t>
        </is>
      </c>
      <c r="B7" s="9" t="n">
        <v>0.25</v>
      </c>
      <c r="C7" s="13" t="n">
        <v>0.3595990133326435</v>
      </c>
      <c r="D7" s="9">
        <f>C7-B7</f>
        <v/>
      </c>
      <c r="E7" s="6" t="inlineStr">
        <is>
          <t>All employed people: academic delivery, examinations, registry, admissions, student support, platform engineering, academic standards, finance and compliance, and institutional leadership, inclusive of on-costs.</t>
        </is>
      </c>
    </row>
    <row r="8">
      <c r="A8" s="5" t="inlineStr">
        <is>
          <t>LMS and Technology</t>
        </is>
      </c>
      <c r="B8" s="9" t="n">
        <v>0.05</v>
      </c>
      <c r="C8" s="13" t="n">
        <v>0.0106360054989733</v>
      </c>
      <c r="D8" s="9">
        <f>C8-B8</f>
        <v/>
      </c>
      <c r="E8" s="6" t="inlineStr">
        <is>
          <t>The learning platform, hosting, authentication, storage, media, security and the tooling the College runs on. Salaries of the people who build it sit in Payroll.</t>
        </is>
      </c>
    </row>
    <row r="9">
      <c r="A9" s="5" t="inlineStr">
        <is>
          <t>Operating Expenses</t>
        </is>
      </c>
      <c r="B9" s="9" t="n">
        <v>0.1</v>
      </c>
      <c r="C9" s="13" t="n">
        <v>0.01301511918592931</v>
      </c>
      <c r="D9" s="9">
        <f>C9-B9</f>
        <v/>
      </c>
      <c r="E9" s="6" t="inlineStr">
        <is>
          <t>Legal, accounting, insurance, audit, professional services, the London registered office, examinations administration, and institutional administration.</t>
        </is>
      </c>
    </row>
    <row r="10">
      <c r="A10" s="5" t="inlineStr">
        <is>
          <t>Marketing and Student Acquisition</t>
        </is>
      </c>
      <c r="B10" s="9" t="n">
        <v>0.1</v>
      </c>
      <c r="C10" s="13" t="n">
        <v>0.1158500866047987</v>
      </c>
      <c r="D10" s="9">
        <f>C10-B10</f>
        <v/>
      </c>
      <c r="E10" s="6" t="inlineStr">
        <is>
          <t>Media, content, campaigns, partnership development and the admissions conversation — the cost of being found and understood. Salaries of the people who do it sit in Payroll.</t>
        </is>
      </c>
    </row>
    <row r="11">
      <c r="A11" s="5" t="inlineStr">
        <is>
          <t>Institutional Reserve</t>
        </is>
      </c>
      <c r="B11" s="9" t="n">
        <v>0.25</v>
      </c>
      <c r="C11" s="13" t="n">
        <v>0.2504498876888276</v>
      </c>
      <c r="D11" s="9">
        <f>C11-B11</f>
        <v/>
      </c>
      <c r="E11" s="6" t="inlineStr">
        <is>
          <t>Restricted or designated institutional capital retained to strengthen liquidity, fund major institutional initiatives, absorb exceptional shocks, support future expansion, and maintain long-term financial resilience.</t>
        </is>
      </c>
    </row>
    <row r="12">
      <c r="A12" s="5" t="inlineStr">
        <is>
          <t>Strategic and Founders' Allocation</t>
        </is>
      </c>
      <c r="B12" s="9" t="n">
        <v>0.25</v>
      </c>
      <c r="C12" s="13" t="n">
        <v>0.2504498876888276</v>
      </c>
      <c r="D12" s="9">
        <f>C12-B12</f>
        <v/>
      </c>
      <c r="E12" s="6" t="inlineStr">
        <is>
          <t>A discretionary institutional allocation available for founder remuneration, strategic investment, expansion, intellectual property development, new campuses and markets, acquisitions, exceptional executive compensation, and other Board-authorised strategic purposes.</t>
        </is>
      </c>
    </row>
    <row r="14">
      <c r="A14" s="5" t="inlineStr">
        <is>
          <t>Gross collected revenue</t>
        </is>
      </c>
      <c r="B14" s="15" t="n">
        <v>17395110</v>
      </c>
    </row>
    <row r="15">
      <c r="A15" s="5" t="inlineStr">
        <is>
          <t>Retained (reserve + strategic)</t>
        </is>
      </c>
      <c r="B15" s="15" t="n">
        <v>8713207</v>
      </c>
      <c r="C15" s="13" t="n">
        <v>0.5008997753776553</v>
      </c>
    </row>
    <row r="17">
      <c r="A17" s="3" t="inlineStr">
        <is>
          <t>The two retained lines are designated institutional capital. The Strategic and Founders' Allocation is NOT automatically withdrawable founder income, and no distribution from it is modelled anywhere in this workbook.</t>
        </is>
      </c>
    </row>
    <row r="19">
      <c r="A19" s="5" t="inlineStr">
        <is>
          <t>THE SWEEP THE PRICE IS SOLVED FROM</t>
        </is>
      </c>
    </row>
    <row r="20" ht="30" customHeight="1">
      <c r="A20" s="4" t="inlineStr">
        <is>
          <t>Tariff multiple</t>
        </is>
      </c>
      <c r="B20" s="4" t="inlineStr">
        <is>
          <t>Directed</t>
        </is>
      </c>
      <c r="C20" s="4" t="inlineStr">
        <is>
          <t>Tutored</t>
        </is>
      </c>
      <c r="D20" s="4" t="inlineStr">
        <is>
          <t>Executive Core</t>
        </is>
      </c>
      <c r="E20" s="4" t="inlineStr">
        <is>
          <t>Revenue</t>
        </is>
      </c>
      <c r="F20" s="4" t="inlineStr">
        <is>
          <t>Learners</t>
        </is>
      </c>
      <c r="G20" s="4" t="inlineStr">
        <is>
          <t>Payroll</t>
        </is>
      </c>
      <c r="H20" s="4" t="inlineStr">
        <is>
          <t>Marketing</t>
        </is>
      </c>
      <c r="I20" s="4" t="inlineStr">
        <is>
          <t>Retained</t>
        </is>
      </c>
    </row>
    <row r="21">
      <c r="A21" s="14" t="n">
        <v>0.6</v>
      </c>
      <c r="B21" s="10" t="n">
        <v>10250</v>
      </c>
      <c r="C21" s="10" t="n">
        <v>16750</v>
      </c>
      <c r="D21" s="10" t="n">
        <v>30250</v>
      </c>
      <c r="E21" s="10" t="n">
        <v>20474383</v>
      </c>
      <c r="F21" s="8" t="n">
        <v>4544</v>
      </c>
      <c r="G21" s="9" t="n">
        <v>0.5549478156433476</v>
      </c>
      <c r="H21" s="9" t="n">
        <v>0.1222572128302963</v>
      </c>
      <c r="I21" s="9" t="n">
        <v>0.2983779721587921</v>
      </c>
    </row>
    <row r="22">
      <c r="A22" s="14" t="n">
        <v>0.7</v>
      </c>
      <c r="B22" s="10" t="n">
        <v>11950</v>
      </c>
      <c r="C22" s="10" t="n">
        <v>19550</v>
      </c>
      <c r="D22" s="10" t="n">
        <v>35300</v>
      </c>
      <c r="E22" s="10" t="n">
        <v>19522653</v>
      </c>
      <c r="F22" s="8" t="n">
        <v>3960</v>
      </c>
      <c r="G22" s="9" t="n">
        <v>0.4815352907200529</v>
      </c>
      <c r="H22" s="9" t="n">
        <v>0.1192553081796823</v>
      </c>
      <c r="I22" s="9" t="n">
        <v>0.3753820664131277</v>
      </c>
    </row>
    <row r="23">
      <c r="A23" s="14" t="n">
        <v>0.7999999999999999</v>
      </c>
      <c r="B23" s="10" t="n">
        <v>13700</v>
      </c>
      <c r="C23" s="10" t="n">
        <v>22300</v>
      </c>
      <c r="D23" s="10" t="n">
        <v>40300</v>
      </c>
      <c r="E23" s="10" t="n">
        <v>18728430</v>
      </c>
      <c r="F23" s="8" t="n">
        <v>3550</v>
      </c>
      <c r="G23" s="9" t="n">
        <v>0.4294276461165445</v>
      </c>
      <c r="H23" s="9" t="n">
        <v>0.1168922862194001</v>
      </c>
      <c r="I23" s="9" t="n">
        <v>0.430139528429292</v>
      </c>
    </row>
    <row r="24">
      <c r="A24" s="14" t="n">
        <v>0.8999999999999999</v>
      </c>
      <c r="B24" s="10" t="n">
        <v>15400</v>
      </c>
      <c r="C24" s="10" t="n">
        <v>25100</v>
      </c>
      <c r="D24" s="10" t="n">
        <v>45350</v>
      </c>
      <c r="E24" s="10" t="n">
        <v>18026952</v>
      </c>
      <c r="F24" s="8" t="n">
        <v>3260</v>
      </c>
      <c r="G24" s="9" t="n">
        <v>0.3897782252626893</v>
      </c>
      <c r="H24" s="9" t="n">
        <v>0.1158619049964742</v>
      </c>
      <c r="I24" s="9" t="n">
        <v>0.4708556110295951</v>
      </c>
    </row>
    <row r="25">
      <c r="A25" s="22" t="n">
        <v>0.9999999999999999</v>
      </c>
      <c r="B25" s="15" t="n">
        <v>17100</v>
      </c>
      <c r="C25" s="15" t="n">
        <v>27900</v>
      </c>
      <c r="D25" s="15" t="n">
        <v>50400</v>
      </c>
      <c r="E25" s="15" t="n">
        <v>17395110</v>
      </c>
      <c r="F25" s="11" t="n">
        <v>3053</v>
      </c>
      <c r="G25" s="13" t="n">
        <v>0.3595990133326435</v>
      </c>
      <c r="H25" s="13" t="n">
        <v>0.1158500866047987</v>
      </c>
      <c r="I25" s="13" t="n">
        <v>0.5008997753776553</v>
      </c>
    </row>
    <row r="26">
      <c r="A26" s="14" t="n">
        <v>1.1</v>
      </c>
      <c r="B26" s="10" t="n">
        <v>18800</v>
      </c>
      <c r="C26" s="10" t="n">
        <v>30700</v>
      </c>
      <c r="D26" s="10" t="n">
        <v>55450</v>
      </c>
      <c r="E26" s="10" t="n">
        <v>16841536</v>
      </c>
      <c r="F26" s="8" t="n">
        <v>2904</v>
      </c>
      <c r="G26" s="9" t="n">
        <v>0.3360145026805764</v>
      </c>
      <c r="H26" s="9" t="n">
        <v>0.1164818339609879</v>
      </c>
      <c r="I26" s="9" t="n">
        <v>0.5236042039905265</v>
      </c>
    </row>
    <row r="27">
      <c r="A27" s="14" t="n">
        <v>1.2</v>
      </c>
      <c r="B27" s="10" t="n">
        <v>20500</v>
      </c>
      <c r="C27" s="10" t="n">
        <v>33500</v>
      </c>
      <c r="D27" s="10" t="n">
        <v>60500</v>
      </c>
      <c r="E27" s="10" t="n">
        <v>16356111</v>
      </c>
      <c r="F27" s="8" t="n">
        <v>2795</v>
      </c>
      <c r="G27" s="9" t="n">
        <v>0.3173124945999873</v>
      </c>
      <c r="H27" s="9" t="n">
        <v>0.1175803343472051</v>
      </c>
      <c r="I27" s="9" t="n">
        <v>0.5408979089702293</v>
      </c>
    </row>
    <row r="28">
      <c r="A28" s="14" t="n">
        <v>1.3</v>
      </c>
      <c r="B28" s="10" t="n">
        <v>22250</v>
      </c>
      <c r="C28" s="10" t="n">
        <v>36250</v>
      </c>
      <c r="D28" s="10" t="n">
        <v>65500</v>
      </c>
      <c r="E28" s="10" t="n">
        <v>15930220</v>
      </c>
      <c r="F28" s="8" t="n">
        <v>2718</v>
      </c>
      <c r="G28" s="9" t="n">
        <v>0.3032307927276961</v>
      </c>
      <c r="H28" s="9" t="n">
        <v>0.1190714252533863</v>
      </c>
      <c r="I28" s="9" t="n">
        <v>0.5531209574204794</v>
      </c>
    </row>
    <row r="29">
      <c r="A29" s="14" t="n">
        <v>1.4</v>
      </c>
      <c r="B29" s="10" t="n">
        <v>23950</v>
      </c>
      <c r="C29" s="10" t="n">
        <v>39050</v>
      </c>
      <c r="D29" s="10" t="n">
        <v>70550</v>
      </c>
      <c r="E29" s="10" t="n">
        <v>15545294</v>
      </c>
      <c r="F29" s="8" t="n">
        <v>2661</v>
      </c>
      <c r="G29" s="9" t="n">
        <v>0.2907002022883821</v>
      </c>
      <c r="H29" s="9" t="n">
        <v>0.1208509147527219</v>
      </c>
      <c r="I29" s="9" t="n">
        <v>0.5634889496989965</v>
      </c>
    </row>
    <row r="30">
      <c r="A30" s="14" t="n">
        <v>1.5</v>
      </c>
      <c r="B30" s="10" t="n">
        <v>25650</v>
      </c>
      <c r="C30" s="10" t="n">
        <v>41850</v>
      </c>
      <c r="D30" s="10" t="n">
        <v>75600</v>
      </c>
      <c r="E30" s="10" t="n">
        <v>15188128</v>
      </c>
      <c r="F30" s="8" t="n">
        <v>2620</v>
      </c>
      <c r="G30" s="9" t="n">
        <v>0.281012818779319</v>
      </c>
      <c r="H30" s="9" t="n">
        <v>0.1229767091770625</v>
      </c>
      <c r="I30" s="9" t="n">
        <v>0.5706161100725128</v>
      </c>
    </row>
    <row r="31">
      <c r="A31" s="14" t="n">
        <v>1.6</v>
      </c>
      <c r="B31" s="10" t="n">
        <v>27350</v>
      </c>
      <c r="C31" s="10" t="n">
        <v>44650</v>
      </c>
      <c r="D31" s="10" t="n">
        <v>80650</v>
      </c>
      <c r="E31" s="10" t="n">
        <v>14840247</v>
      </c>
      <c r="F31" s="8" t="n">
        <v>2560</v>
      </c>
      <c r="G31" s="9" t="n">
        <v>0.2725675734647127</v>
      </c>
      <c r="H31" s="9" t="n">
        <v>0.124124551296215</v>
      </c>
      <c r="I31" s="9" t="n">
        <v>0.5775583916881233</v>
      </c>
    </row>
    <row r="32">
      <c r="A32" s="14" t="n">
        <v>1.7</v>
      </c>
      <c r="B32" s="10" t="n">
        <v>29050</v>
      </c>
      <c r="C32" s="10" t="n">
        <v>47450</v>
      </c>
      <c r="D32" s="10" t="n">
        <v>85700</v>
      </c>
      <c r="E32" s="10" t="n">
        <v>14514522</v>
      </c>
      <c r="F32" s="8" t="n">
        <v>2502</v>
      </c>
      <c r="G32" s="9" t="n">
        <v>0.2644025437282586</v>
      </c>
      <c r="H32" s="9" t="n">
        <v>0.1251534153174317</v>
      </c>
      <c r="I32" s="9" t="n">
        <v>0.5843540756025433</v>
      </c>
    </row>
    <row r="33">
      <c r="A33" s="14" t="n">
        <v>1.8</v>
      </c>
      <c r="B33" s="10" t="n">
        <v>30800</v>
      </c>
      <c r="C33" s="10" t="n">
        <v>50200</v>
      </c>
      <c r="D33" s="10" t="n">
        <v>90700</v>
      </c>
      <c r="E33" s="10" t="n">
        <v>14213299</v>
      </c>
      <c r="F33" s="8" t="n">
        <v>2455</v>
      </c>
      <c r="G33" s="9" t="n">
        <v>0.2582893333190636</v>
      </c>
      <c r="H33" s="9" t="n">
        <v>0.1263313323669614</v>
      </c>
      <c r="I33" s="9" t="n">
        <v>0.5889328718224852</v>
      </c>
    </row>
    <row r="34">
      <c r="A34" s="14" t="n">
        <v>1.900000000000001</v>
      </c>
      <c r="B34" s="10" t="n">
        <v>32500</v>
      </c>
      <c r="C34" s="10" t="n">
        <v>53000</v>
      </c>
      <c r="D34" s="10" t="n">
        <v>95750</v>
      </c>
      <c r="E34" s="10" t="n">
        <v>13931012</v>
      </c>
      <c r="F34" s="8" t="n">
        <v>2415</v>
      </c>
      <c r="G34" s="9" t="n">
        <v>0.2529421094553104</v>
      </c>
      <c r="H34" s="9" t="n">
        <v>0.1276399015376629</v>
      </c>
      <c r="I34" s="9" t="n">
        <v>0.592610461018543</v>
      </c>
    </row>
    <row r="35">
      <c r="A35" s="14" t="n">
        <v>2</v>
      </c>
      <c r="B35" s="10" t="n">
        <v>34200</v>
      </c>
      <c r="C35" s="10" t="n">
        <v>55800</v>
      </c>
      <c r="D35" s="10" t="n">
        <v>100800</v>
      </c>
      <c r="E35" s="10" t="n">
        <v>13666639</v>
      </c>
      <c r="F35" s="8" t="n">
        <v>2381</v>
      </c>
      <c r="G35" s="9" t="n">
        <v>0.2476667265495177</v>
      </c>
      <c r="H35" s="9" t="n">
        <v>0.1290602612683338</v>
      </c>
      <c r="I35" s="9" t="n">
        <v>0.5960990360699771</v>
      </c>
    </row>
    <row r="36">
      <c r="A36" s="14" t="n">
        <v>2.100000000000001</v>
      </c>
      <c r="B36" s="10" t="n">
        <v>35900</v>
      </c>
      <c r="C36" s="10" t="n">
        <v>58600</v>
      </c>
      <c r="D36" s="10" t="n">
        <v>105850</v>
      </c>
      <c r="E36" s="10" t="n">
        <v>13418011</v>
      </c>
      <c r="F36" s="8" t="n">
        <v>2352</v>
      </c>
      <c r="G36" s="9" t="n">
        <v>0.2440138740927893</v>
      </c>
      <c r="H36" s="9" t="n">
        <v>0.1305800092129899</v>
      </c>
      <c r="I36" s="9" t="n">
        <v>0.5978525796001546</v>
      </c>
    </row>
    <row r="37">
      <c r="A37" s="14" t="n">
        <v>2.200000000000001</v>
      </c>
      <c r="B37" s="10" t="n">
        <v>37600</v>
      </c>
      <c r="C37" s="10" t="n">
        <v>61400</v>
      </c>
      <c r="D37" s="10" t="n">
        <v>110900</v>
      </c>
      <c r="E37" s="10" t="n">
        <v>13183374</v>
      </c>
      <c r="F37" s="8" t="n">
        <v>2328</v>
      </c>
      <c r="G37" s="9" t="n">
        <v>0.2407757297742488</v>
      </c>
      <c r="H37" s="9" t="n">
        <v>0.132188315373591</v>
      </c>
      <c r="I37" s="9" t="n">
        <v>0.5991001613150656</v>
      </c>
    </row>
    <row r="38">
      <c r="A38" s="14" t="n">
        <v>2.300000000000001</v>
      </c>
      <c r="B38" s="10" t="n">
        <v>39350</v>
      </c>
      <c r="C38" s="10" t="n">
        <v>64150</v>
      </c>
      <c r="D38" s="10" t="n">
        <v>115900</v>
      </c>
      <c r="E38" s="10" t="n">
        <v>12961540</v>
      </c>
      <c r="F38" s="8" t="n">
        <v>2308</v>
      </c>
      <c r="G38" s="9" t="n">
        <v>0.2378970404864541</v>
      </c>
      <c r="H38" s="9" t="n">
        <v>0.1338902630397314</v>
      </c>
      <c r="I38" s="9" t="n">
        <v>0.5998904467390367</v>
      </c>
    </row>
    <row r="39">
      <c r="A39" s="14" t="n">
        <v>2.400000000000001</v>
      </c>
      <c r="B39" s="10" t="n">
        <v>41050</v>
      </c>
      <c r="C39" s="10" t="n">
        <v>66950</v>
      </c>
      <c r="D39" s="10" t="n">
        <v>120950</v>
      </c>
      <c r="E39" s="10" t="n">
        <v>12750526</v>
      </c>
      <c r="F39" s="8" t="n">
        <v>2290</v>
      </c>
      <c r="G39" s="9" t="n">
        <v>0.2356321459870337</v>
      </c>
      <c r="H39" s="9" t="n">
        <v>0.1356503253277551</v>
      </c>
      <c r="I39" s="9" t="n">
        <v>0.6000104200055989</v>
      </c>
    </row>
    <row r="40">
      <c r="A40" s="14" t="n">
        <v>2.500000000000001</v>
      </c>
      <c r="B40" s="10" t="n">
        <v>42750</v>
      </c>
      <c r="C40" s="10" t="n">
        <v>69750</v>
      </c>
      <c r="D40" s="10" t="n">
        <v>126000</v>
      </c>
      <c r="E40" s="10" t="n">
        <v>12549708</v>
      </c>
      <c r="F40" s="8" t="n">
        <v>2276</v>
      </c>
      <c r="G40" s="9" t="n">
        <v>0.2343153167408257</v>
      </c>
      <c r="H40" s="9" t="n">
        <v>0.137473796203067</v>
      </c>
      <c r="I40" s="9" t="n">
        <v>0.599101212887686</v>
      </c>
    </row>
    <row r="41">
      <c r="A41" s="14" t="n">
        <v>2.600000000000001</v>
      </c>
      <c r="B41" s="10" t="n">
        <v>44450</v>
      </c>
      <c r="C41" s="10" t="n">
        <v>72550</v>
      </c>
      <c r="D41" s="10" t="n">
        <v>131050</v>
      </c>
      <c r="E41" s="10" t="n">
        <v>12358078</v>
      </c>
      <c r="F41" s="8" t="n">
        <v>2264</v>
      </c>
      <c r="G41" s="9" t="n">
        <v>0.232330409064089</v>
      </c>
      <c r="H41" s="9" t="n">
        <v>0.139355650611689</v>
      </c>
      <c r="I41" s="9" t="n">
        <v>0.5988201726171776</v>
      </c>
    </row>
    <row r="42">
      <c r="A42" s="14" t="n">
        <v>2.700000000000001</v>
      </c>
      <c r="B42" s="10" t="n">
        <v>46150</v>
      </c>
      <c r="C42" s="10" t="n">
        <v>75350</v>
      </c>
      <c r="D42" s="10" t="n">
        <v>136100</v>
      </c>
      <c r="E42" s="10" t="n">
        <v>12174805</v>
      </c>
      <c r="F42" s="8" t="n">
        <v>2254</v>
      </c>
      <c r="G42" s="9" t="n">
        <v>0.2306246389309383</v>
      </c>
      <c r="H42" s="9" t="n">
        <v>0.1412910514788533</v>
      </c>
      <c r="I42" s="9" t="n">
        <v>0.598200228564673</v>
      </c>
    </row>
    <row r="43">
      <c r="A43" s="14" t="n">
        <v>2.800000000000001</v>
      </c>
      <c r="B43" s="10" t="n">
        <v>47900</v>
      </c>
      <c r="C43" s="10" t="n">
        <v>78100</v>
      </c>
      <c r="D43" s="10" t="n">
        <v>141100</v>
      </c>
      <c r="E43" s="10" t="n">
        <v>11999000</v>
      </c>
      <c r="F43" s="8" t="n">
        <v>2246</v>
      </c>
      <c r="G43" s="9" t="n">
        <v>0.2300156995723689</v>
      </c>
      <c r="H43" s="9" t="n">
        <v>0.1432993582798567</v>
      </c>
      <c r="I43" s="9" t="n">
        <v>0.596397664490099</v>
      </c>
    </row>
    <row r="44">
      <c r="A44" s="14" t="n">
        <v>2.900000000000001</v>
      </c>
      <c r="B44" s="10" t="n">
        <v>49600</v>
      </c>
      <c r="C44" s="10" t="n">
        <v>80900</v>
      </c>
      <c r="D44" s="10" t="n">
        <v>146150</v>
      </c>
      <c r="E44" s="10" t="n">
        <v>11830304</v>
      </c>
      <c r="F44" s="8" t="n">
        <v>2239</v>
      </c>
      <c r="G44" s="9" t="n">
        <v>0.2298273530660217</v>
      </c>
      <c r="H44" s="9" t="n">
        <v>0.1453307539687907</v>
      </c>
      <c r="I44" s="9" t="n">
        <v>0.5941528563853372</v>
      </c>
    </row>
    <row r="45">
      <c r="A45" s="14" t="n">
        <v>3.000000000000001</v>
      </c>
      <c r="B45" s="10" t="n">
        <v>51300</v>
      </c>
      <c r="C45" s="10" t="n">
        <v>83700</v>
      </c>
      <c r="D45" s="10" t="n">
        <v>151200</v>
      </c>
      <c r="E45" s="10" t="n">
        <v>11668095</v>
      </c>
      <c r="F45" s="8" t="n">
        <v>2234</v>
      </c>
      <c r="G45" s="9" t="n">
        <v>0.2291900699682136</v>
      </c>
      <c r="H45" s="9" t="n">
        <v>0.1474036678652342</v>
      </c>
      <c r="I45" s="9" t="n">
        <v>0.5923211347486614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1" t="inlineStr">
        <is>
          <t>WorldWide English College — London Campus</t>
        </is>
      </c>
    </row>
    <row r="2">
      <c r="A2" s="2" t="inlineStr">
        <is>
          <t>16 Summary</t>
        </is>
      </c>
    </row>
    <row r="3">
      <c r="A3" s="3" t="inlineStr">
        <is>
          <t>The decade in one view, expected case.</t>
        </is>
      </c>
    </row>
    <row r="6" ht="30" customHeight="1">
      <c r="A6" s="4" t="inlineStr">
        <is>
          <t>Measure</t>
        </is>
      </c>
      <c r="B6" s="4" t="inlineStr">
        <is>
          <t>Ten-year</t>
        </is>
      </c>
      <c r="C6" s="4" t="inlineStr">
        <is>
          <t>Year 10</t>
        </is>
      </c>
    </row>
    <row r="7">
      <c r="A7" s="5" t="inlineStr">
        <is>
          <t>Gross tuition</t>
        </is>
      </c>
      <c r="B7" s="10" t="n">
        <v>91500589</v>
      </c>
      <c r="C7" s="10" t="n">
        <v>17117317</v>
      </c>
    </row>
    <row r="8">
      <c r="A8" s="5" t="inlineStr">
        <is>
          <t>Refunds</t>
        </is>
      </c>
      <c r="B8" s="10" t="n">
        <v>2013012</v>
      </c>
      <c r="C8" s="10" t="n">
        <v>376581</v>
      </c>
    </row>
    <row r="9">
      <c r="A9" s="5" t="inlineStr">
        <is>
          <t>Fee remission (scholarships)</t>
        </is>
      </c>
      <c r="B9" s="10" t="n">
        <v>4575029</v>
      </c>
      <c r="C9" s="10" t="n">
        <v>855866</v>
      </c>
    </row>
    <row r="10">
      <c r="A10" s="5" t="inlineStr">
        <is>
          <t>Net tuition</t>
        </is>
      </c>
      <c r="B10" s="10" t="n">
        <v>84912545</v>
      </c>
      <c r="C10" s="10" t="n">
        <v>15884870</v>
      </c>
    </row>
    <row r="11">
      <c r="A11" s="5" t="inlineStr">
        <is>
          <t>Total cost</t>
        </is>
      </c>
      <c r="B11" s="10" t="n">
        <v>64880256</v>
      </c>
      <c r="C11" s="10" t="n">
        <v>10987757</v>
      </c>
    </row>
    <row r="12">
      <c r="A12" s="5" t="inlineStr">
        <is>
          <t>Surplus</t>
        </is>
      </c>
      <c r="B12" s="10" t="n">
        <v>20032291</v>
      </c>
      <c r="C12" s="10" t="n">
        <v>4897113</v>
      </c>
    </row>
    <row r="13">
      <c r="A13" s="5" t="inlineStr">
        <is>
          <t>Levels delivered</t>
        </is>
      </c>
      <c r="B13" s="14" t="n">
        <v>44392</v>
      </c>
      <c r="C13" s="14" t="n">
        <v>8341.9</v>
      </c>
    </row>
    <row r="14">
      <c r="A14" s="5" t="inlineStr">
        <is>
          <t>Awards conferred</t>
        </is>
      </c>
      <c r="B14" s="14" t="n">
        <v>44392</v>
      </c>
      <c r="C14" s="14" t="n">
        <v>8341.9</v>
      </c>
    </row>
    <row r="15">
      <c r="A15" s="5" t="inlineStr">
        <is>
          <t>Active learners (peak / Y10)</t>
        </is>
      </c>
      <c r="B15" s="8" t="n">
        <v>2071</v>
      </c>
      <c r="C15" s="8" t="n">
        <v>2071</v>
      </c>
    </row>
    <row r="16">
      <c r="A16" s="5" t="inlineStr">
        <is>
          <t>Instructors</t>
        </is>
      </c>
      <c r="C16" s="8" t="n">
        <v>75</v>
      </c>
    </row>
    <row r="17">
      <c r="A17" s="5" t="inlineStr">
        <is>
          <t>Closing reserve</t>
        </is>
      </c>
      <c r="C17" s="10" t="n">
        <v>12604510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2026-09-20T09:24:58Z</dcterms:created>
  <dcterms:modified xsi:type="dcterms:W3CDTF">2026-09-20T09:24:58Z</dcterms:modified>
</cp:coreProperties>
</file>